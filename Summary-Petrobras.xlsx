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s" sheetId="1" r:id="rId5"/>
    <sheet state="visible" name="Financial ratios" sheetId="2" r:id="rId6"/>
    <sheet state="visible" name="DDM" sheetId="3" r:id="rId7"/>
    <sheet state="visible" name="DFCF" sheetId="4" r:id="rId8"/>
    <sheet state="visible" name="Cost of Capital" sheetId="5" r:id="rId9"/>
  </sheets>
  <definedNames/>
  <calcPr/>
</workbook>
</file>

<file path=xl/sharedStrings.xml><?xml version="1.0" encoding="utf-8"?>
<sst xmlns="http://schemas.openxmlformats.org/spreadsheetml/2006/main" count="324" uniqueCount="240">
  <si>
    <t>Income Statement As of Originally Reported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</si>
  <si>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</si>
  <si>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</si>
  <si>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</si>
  <si>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</si>
  <si>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</si>
  <si>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</si>
  <si>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</si>
  <si>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</si>
  <si>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</si>
  <si>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</si>
  <si>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Revenue</t>
  </si>
  <si>
    <t>Revenue Growth %</t>
  </si>
  <si>
    <t>-32.26</t>
  </si>
  <si>
    <t>-16.35</t>
  </si>
  <si>
    <t>9.12</t>
  </si>
  <si>
    <t>22.73</t>
  </si>
  <si>
    <t>-9.51</t>
  </si>
  <si>
    <t>-29.91</t>
  </si>
  <si>
    <t>56.41</t>
  </si>
  <si>
    <t>48.24</t>
  </si>
  <si>
    <t>-17.73</t>
  </si>
  <si>
    <t>-10.73</t>
  </si>
  <si>
    <t>Gross Profit</t>
  </si>
  <si>
    <t>Gross Profit Margin %</t>
  </si>
  <si>
    <t>30.65</t>
  </si>
  <si>
    <t>31.92</t>
  </si>
  <si>
    <t>32.29</t>
  </si>
  <si>
    <t>35.64</t>
  </si>
  <si>
    <t>40.29</t>
  </si>
  <si>
    <t>45.62</t>
  </si>
  <si>
    <t>48.59</t>
  </si>
  <si>
    <t>52.21</t>
  </si>
  <si>
    <t>52.70</t>
  </si>
  <si>
    <t>50.29</t>
  </si>
  <si>
    <t>Operating Income</t>
  </si>
  <si>
    <t>Operating Margin %</t>
  </si>
  <si>
    <t>15.11</t>
  </si>
  <si>
    <t>17.73</t>
  </si>
  <si>
    <t>14.66</t>
  </si>
  <si>
    <t>24.29</t>
  </si>
  <si>
    <t>22.43</t>
  </si>
  <si>
    <t>30.76</t>
  </si>
  <si>
    <t>39.69</t>
  </si>
  <si>
    <t>44.69</t>
  </si>
  <si>
    <t>38.56</t>
  </si>
  <si>
    <t>28.10</t>
  </si>
  <si>
    <t>EBIT</t>
  </si>
  <si>
    <t>EBIT Margin %</t>
  </si>
  <si>
    <t>-5.53</t>
  </si>
  <si>
    <t>2.23</t>
  </si>
  <si>
    <t>7.66</t>
  </si>
  <si>
    <t>16.47</t>
  </si>
  <si>
    <t>24.39</t>
  </si>
  <si>
    <t>10.18</t>
  </si>
  <si>
    <t>39.54</t>
  </si>
  <si>
    <t>45.12</t>
  </si>
  <si>
    <t>38.10</t>
  </si>
  <si>
    <t>16.39</t>
  </si>
  <si>
    <t>EBITDA</t>
  </si>
  <si>
    <t>EBITDA Margin %</t>
  </si>
  <si>
    <t>6.38</t>
  </si>
  <si>
    <t>19.39</t>
  </si>
  <si>
    <t>22.64</t>
  </si>
  <si>
    <t>29.05</t>
  </si>
  <si>
    <t>43.76</t>
  </si>
  <si>
    <t>33.27</t>
  </si>
  <si>
    <t>55.04</t>
  </si>
  <si>
    <t>56.93</t>
  </si>
  <si>
    <t>51.07</t>
  </si>
  <si>
    <t>30.04</t>
  </si>
  <si>
    <t>Net Income</t>
  </si>
  <si>
    <t>Net Profit Margin %</t>
  </si>
  <si>
    <t>-8.85</t>
  </si>
  <si>
    <t>-5.34</t>
  </si>
  <si>
    <t>0.19</t>
  </si>
  <si>
    <t>7.76</t>
  </si>
  <si>
    <t>10.19</t>
  </si>
  <si>
    <t>1.77</t>
  </si>
  <si>
    <t>23.80</t>
  </si>
  <si>
    <t>29.53</t>
  </si>
  <si>
    <t>24.41</t>
  </si>
  <si>
    <t>8.32</t>
  </si>
  <si>
    <t>Basic EPS</t>
  </si>
  <si>
    <t>-1.30</t>
  </si>
  <si>
    <t>-0.74</t>
  </si>
  <si>
    <t>-0.02</t>
  </si>
  <si>
    <t>1.10</t>
  </si>
  <si>
    <t>1.56</t>
  </si>
  <si>
    <t>0.18</t>
  </si>
  <si>
    <t>3.04</t>
  </si>
  <si>
    <t>5.62</t>
  </si>
  <si>
    <t>3.82</t>
  </si>
  <si>
    <t>1.16</t>
  </si>
  <si>
    <t>Diluted EPS</t>
  </si>
  <si>
    <t>Normalized EPS</t>
  </si>
  <si>
    <t>-</t>
  </si>
  <si>
    <t>1.25</t>
  </si>
  <si>
    <t>1.93</t>
  </si>
  <si>
    <t>1.35</t>
  </si>
  <si>
    <t>2.25</t>
  </si>
  <si>
    <t>5.16</t>
  </si>
  <si>
    <t>4.21</t>
  </si>
  <si>
    <t>1.89</t>
  </si>
  <si>
    <t>Dividend Per Share</t>
  </si>
  <si>
    <t>0.11</t>
  </si>
  <si>
    <t>0.27</t>
  </si>
  <si>
    <t>0.09</t>
  </si>
  <si>
    <t>2.04</t>
  </si>
  <si>
    <t>6.45</t>
  </si>
  <si>
    <t>2.98</t>
  </si>
  <si>
    <t>2.35</t>
  </si>
  <si>
    <t>Balance Sheet As of Originally Reported</t>
  </si>
  <si>
    <t>Total Assets</t>
  </si>
  <si>
    <t>Total Liabilities</t>
  </si>
  <si>
    <t>Total Debt</t>
  </si>
  <si>
    <t>Total Equity</t>
  </si>
  <si>
    <t>Cash And Cash Equivalents</t>
  </si>
  <si>
    <t>Working Capital</t>
  </si>
  <si>
    <t>Shares Outstanding Capital</t>
  </si>
  <si>
    <t>Book Value per Share</t>
  </si>
  <si>
    <t>10.00</t>
  </si>
  <si>
    <t>11.77</t>
  </si>
  <si>
    <t>12.24</t>
  </si>
  <si>
    <t>10.97</t>
  </si>
  <si>
    <t>11.24</t>
  </si>
  <si>
    <t>9.10</t>
  </si>
  <si>
    <t>10.64</t>
  </si>
  <si>
    <t>10.65</t>
  </si>
  <si>
    <t>12.15</t>
  </si>
  <si>
    <t>9.17</t>
  </si>
  <si>
    <t>Debt to Equity</t>
  </si>
  <si>
    <t>1.91</t>
  </si>
  <si>
    <t>1.53</t>
  </si>
  <si>
    <t>1.34</t>
  </si>
  <si>
    <t>1.15</t>
  </si>
  <si>
    <t>1.17</t>
  </si>
  <si>
    <t>1.26</t>
  </si>
  <si>
    <t>0.84</t>
  </si>
  <si>
    <t>0.77</t>
  </si>
  <si>
    <t>0.79</t>
  </si>
  <si>
    <t>1.02</t>
  </si>
  <si>
    <t>Cash Flow As of Originally Reported</t>
  </si>
  <si>
    <t>Cash From Operating Activities</t>
  </si>
  <si>
    <t>Cash From Investing Activities</t>
  </si>
  <si>
    <t>Cash From Financing Activities</t>
  </si>
  <si>
    <t>Capital Expenditure</t>
  </si>
  <si>
    <t>Free Cash Flow</t>
  </si>
  <si>
    <t>Change in Cash</t>
  </si>
  <si>
    <t>Mean</t>
  </si>
  <si>
    <t xml:space="preserve">Median </t>
  </si>
  <si>
    <t>Industry
(Median)</t>
  </si>
  <si>
    <t>Profitability ratio</t>
  </si>
  <si>
    <t>Liquidity ratio</t>
  </si>
  <si>
    <t>Current Ratio</t>
  </si>
  <si>
    <t>Quick Ratio</t>
  </si>
  <si>
    <t>Working Capital Ratios</t>
  </si>
  <si>
    <t>Cash Conversion Cycle</t>
  </si>
  <si>
    <t>Inventory Turnover</t>
  </si>
  <si>
    <t>Asset Turnover</t>
  </si>
  <si>
    <t>Leverage Ratios</t>
  </si>
  <si>
    <t>Interest Coverage</t>
  </si>
  <si>
    <t>Debt/Equity</t>
  </si>
  <si>
    <t>Debt/Capital</t>
  </si>
  <si>
    <t>Valuation Ratios</t>
  </si>
  <si>
    <t>P/B Ratio</t>
  </si>
  <si>
    <t>—</t>
  </si>
  <si>
    <t>P/E Ratio</t>
  </si>
  <si>
    <t>Enterprise Value/EBITDA</t>
  </si>
  <si>
    <t>Operating Returns</t>
  </si>
  <si>
    <t>Return on Asset (%)</t>
  </si>
  <si>
    <t>Return on Equity (%)</t>
  </si>
  <si>
    <t>Return on Invested Capital (%)</t>
  </si>
  <si>
    <t>Dividend Discount Model</t>
  </si>
  <si>
    <t>5Y Mean</t>
  </si>
  <si>
    <t>5Y Median</t>
  </si>
  <si>
    <t>Dividend per Share</t>
  </si>
  <si>
    <t>Dividend Growth Rate</t>
  </si>
  <si>
    <t>Dividend Payout Rate (%)</t>
  </si>
  <si>
    <t>Trailing Dividend Yield (%)</t>
  </si>
  <si>
    <t>Historical growth rate</t>
  </si>
  <si>
    <t>Sustainable growth rate</t>
  </si>
  <si>
    <t>Implied growth rate</t>
  </si>
  <si>
    <t>Cost of Equity (rE)</t>
  </si>
  <si>
    <t>Scenario I</t>
  </si>
  <si>
    <t>5-year at average historical growth, long-run growth at sustainable rate</t>
  </si>
  <si>
    <t>t</t>
  </si>
  <si>
    <t>Dividend (End 2024)</t>
  </si>
  <si>
    <t>PV GP5</t>
  </si>
  <si>
    <t>PV Div 1-5</t>
  </si>
  <si>
    <t>Estimated Price</t>
  </si>
  <si>
    <t>Market Price (1/2/25)</t>
  </si>
  <si>
    <t>Scenario II</t>
  </si>
  <si>
    <t>5-year at average historical growth, long-run growth at implied growth rate</t>
  </si>
  <si>
    <t>Dividend (Current)</t>
  </si>
  <si>
    <t>Discounted Free Cash Flow</t>
  </si>
  <si>
    <t>Median</t>
  </si>
  <si>
    <t>EBIT/Sales</t>
  </si>
  <si>
    <t>CapEx</t>
  </si>
  <si>
    <t>D&amp;A</t>
  </si>
  <si>
    <t>Net Investment/Sales</t>
  </si>
  <si>
    <t>Account Receivables</t>
  </si>
  <si>
    <t>Inventories</t>
  </si>
  <si>
    <t>Account Payables</t>
  </si>
  <si>
    <t>NWC/Sales</t>
  </si>
  <si>
    <t>Effective Tax Rate</t>
  </si>
  <si>
    <t>Revenue Growth (historical)</t>
  </si>
  <si>
    <t>Long-run Growth</t>
  </si>
  <si>
    <t>rWACC</t>
  </si>
  <si>
    <t>rWACC w/out Cash</t>
  </si>
  <si>
    <t>Values in Dollar Billion</t>
  </si>
  <si>
    <t>Sales</t>
  </si>
  <si>
    <t>NOPAT</t>
  </si>
  <si>
    <t>Net Investment</t>
  </si>
  <si>
    <t>Change NWC</t>
  </si>
  <si>
    <t>FCF</t>
  </si>
  <si>
    <t>Using rWACC w/out Cash</t>
  </si>
  <si>
    <t>PV FCF 1-5</t>
  </si>
  <si>
    <t>Estimated EV</t>
  </si>
  <si>
    <t>Cash &amp; Cash Equivalent</t>
  </si>
  <si>
    <t>Shares Outstanding</t>
  </si>
  <si>
    <t>Share Price (1/2/25)</t>
  </si>
  <si>
    <t>Cost of Equity</t>
  </si>
  <si>
    <t>Risk-free Rate (rF)</t>
  </si>
  <si>
    <t>Beta</t>
  </si>
  <si>
    <t>Alpha</t>
  </si>
  <si>
    <t>Risk Premium</t>
  </si>
  <si>
    <t>Cost of Debt</t>
  </si>
  <si>
    <t>Synthetic Rating</t>
  </si>
  <si>
    <t>A2/A</t>
  </si>
  <si>
    <t>Spread</t>
  </si>
  <si>
    <t>Pre-tax Cost of Debt (rD)</t>
  </si>
  <si>
    <t>After-tax Cost of Debt</t>
  </si>
  <si>
    <t>Cost of Capital</t>
  </si>
  <si>
    <t>Share Price</t>
  </si>
  <si>
    <t>Market Cap</t>
  </si>
  <si>
    <t>Enterprise Value</t>
  </si>
  <si>
    <t>Equity Weight (wE)</t>
  </si>
  <si>
    <t>Debt Weight (wD)</t>
  </si>
  <si>
    <t>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</si>
</sst>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 #.00,,&quot;B&quot;"/>
    <numFmt numFmtId="165" formatCode="&quot;$&quot;#,##0.00"/>
  </numFmts>
  <fonts count="1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i/>
      <sz val="10.0"/>
      <color theme="1"/>
      <name val="Arial"/>
      <scheme val="minor"/>
    </font>
    <font>
      <sz val="12.0"/>
      <color rgb="FF1E1E1E"/>
      <name val="MorningstarIntrinsic"/>
    </font>
    <font>
      <sz val="10.0"/>
      <color rgb="FF1E1E1E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i/>
      <color theme="1"/>
      <name val="Arial"/>
    </font>
    <font>
      <i/>
      <color theme="1"/>
      <name val="Arial"/>
    </font>
    <font>
      <sz val="10.0"/>
      <color rgb="FF1B1C1D"/>
      <name val="Arial"/>
      <scheme val="minor"/>
    </font>
    <font>
      <sz val="10.0"/>
      <color rgb="FF171717"/>
      <name val="Arial"/>
    </font>
    <font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rgb="FFFFFF00"/>
      </patternFill>
    </fill>
  </fills>
  <borders count="3">
    <border/>
    <border>
      <top style="thin">
        <color rgb="FFE5E5E5"/>
      </top>
    </border>
    <border>
      <top style="thin">
        <color rgb="FFE5E5E5"/>
      </top>
      <bottom style="thin">
        <color rgb="FFE5E5E5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 readingOrder="0" shrinkToFit="0" vertical="bottom" wrapText="0"/>
    </xf>
    <xf borderId="0" fillId="0" fontId="4" numFmtId="4" xfId="0" applyAlignment="1" applyFont="1" applyNumberForma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shrinkToFit="0" vertical="bottom" wrapText="0"/>
    </xf>
    <xf borderId="0" fillId="0" fontId="4" numFmtId="4" xfId="0" applyFont="1" applyNumberFormat="1"/>
    <xf borderId="0" fillId="0" fontId="4" numFmtId="4" xfId="0" applyAlignment="1" applyFont="1" applyNumberFormat="1">
      <alignment horizontal="center" vertical="bottom"/>
    </xf>
    <xf borderId="0" fillId="0" fontId="4" numFmtId="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4" xfId="0" applyAlignment="1" applyFont="1" applyNumberFormat="1">
      <alignment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right" readingOrder="0" shrinkToFit="0" vertical="top" wrapText="0"/>
    </xf>
    <xf borderId="1" fillId="2" fontId="6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horizontal="right" readingOrder="0" shrinkToFit="0" vertical="top" wrapText="0"/>
    </xf>
    <xf borderId="0" fillId="0" fontId="7" numFmtId="10" xfId="0" applyAlignment="1" applyFont="1" applyNumberFormat="1">
      <alignment horizontal="right" readingOrder="0" shrinkToFit="0" vertical="top" wrapText="0"/>
    </xf>
    <xf borderId="0" fillId="0" fontId="4" numFmtId="10" xfId="0" applyFont="1" applyNumberFormat="1"/>
    <xf borderId="0" fillId="0" fontId="8" numFmtId="2" xfId="0" applyAlignment="1" applyFont="1" applyNumberFormat="1">
      <alignment horizontal="center" vertical="bottom"/>
    </xf>
    <xf borderId="1" fillId="0" fontId="7" numFmtId="10" xfId="0" applyAlignment="1" applyBorder="1" applyFont="1" applyNumberFormat="1">
      <alignment horizontal="right" readingOrder="0" shrinkToFit="0" vertical="top" wrapText="0"/>
    </xf>
    <xf borderId="0" fillId="0" fontId="4" numFmtId="2" xfId="0" applyAlignment="1" applyFont="1" applyNumberFormat="1">
      <alignment horizontal="center" vertical="bottom"/>
    </xf>
    <xf borderId="0" fillId="0" fontId="9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right" vertical="bottom"/>
    </xf>
    <xf borderId="1" fillId="0" fontId="7" numFmtId="165" xfId="0" applyAlignment="1" applyBorder="1" applyFont="1" applyNumberFormat="1">
      <alignment horizontal="right" readingOrder="0" shrinkToFit="0" vertical="top" wrapText="0"/>
    </xf>
    <xf borderId="1" fillId="2" fontId="6" numFmtId="0" xfId="0" applyAlignment="1" applyBorder="1" applyFont="1">
      <alignment horizontal="right" shrinkToFit="0" vertical="top" wrapText="0"/>
    </xf>
    <xf borderId="0" fillId="0" fontId="10" numFmtId="165" xfId="0" applyFont="1" applyNumberFormat="1"/>
    <xf borderId="0" fillId="0" fontId="7" numFmtId="10" xfId="0" applyAlignment="1" applyFont="1" applyNumberFormat="1">
      <alignment readingOrder="0"/>
    </xf>
    <xf borderId="0" fillId="0" fontId="10" numFmtId="10" xfId="0" applyFont="1" applyNumberFormat="1"/>
    <xf borderId="2" fillId="0" fontId="7" numFmtId="0" xfId="0" applyAlignment="1" applyBorder="1" applyFont="1">
      <alignment horizontal="right" readingOrder="0" shrinkToFit="0" vertical="top" wrapText="0"/>
    </xf>
    <xf borderId="2" fillId="2" fontId="6" numFmtId="0" xfId="0" applyAlignment="1" applyBorder="1" applyFont="1">
      <alignment horizontal="right" shrinkToFit="0" vertical="top" wrapText="0"/>
    </xf>
    <xf borderId="0" fillId="0" fontId="10" numFmtId="0" xfId="0" applyFont="1"/>
    <xf borderId="0" fillId="2" fontId="6" numFmtId="0" xfId="0" applyFont="1"/>
    <xf borderId="0" fillId="0" fontId="10" numFmtId="10" xfId="0" applyAlignment="1" applyFont="1" applyNumberFormat="1">
      <alignment readingOrder="0"/>
    </xf>
    <xf borderId="0" fillId="0" fontId="9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0" numFmtId="165" xfId="0" applyAlignment="1" applyFont="1" applyNumberFormat="1">
      <alignment readingOrder="0"/>
    </xf>
    <xf borderId="0" fillId="0" fontId="10" numFmtId="165" xfId="0" applyFont="1" applyNumberFormat="1"/>
    <xf borderId="0" fillId="0" fontId="2" numFmtId="164" xfId="0" applyAlignment="1" applyFont="1" applyNumberFormat="1">
      <alignment horizontal="right"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8" numFmtId="10" xfId="0" applyAlignment="1" applyFont="1" applyNumberFormat="1">
      <alignment horizontal="right"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0" fontId="10" numFmtId="9" xfId="0" applyFont="1" applyNumberFormat="1"/>
    <xf borderId="0" fillId="0" fontId="12" numFmtId="0" xfId="0" applyAlignment="1" applyFont="1">
      <alignment horizontal="right" readingOrder="0" vertical="bottom"/>
    </xf>
    <xf borderId="0" fillId="0" fontId="10" numFmtId="164" xfId="0" applyFont="1" applyNumberFormat="1"/>
    <xf borderId="0" fillId="0" fontId="8" numFmtId="10" xfId="0" applyAlignment="1" applyFont="1" applyNumberFormat="1">
      <alignment horizontal="right" vertical="bottom"/>
    </xf>
    <xf borderId="0" fillId="3" fontId="13" numFmtId="10" xfId="0" applyAlignment="1" applyFill="1" applyFont="1" applyNumberFormat="1">
      <alignment horizontal="right" readingOrder="0"/>
    </xf>
    <xf borderId="0" fillId="0" fontId="0" numFmtId="0" xfId="0" applyAlignment="1" applyFont="1">
      <alignment horizontal="right" readingOrder="0"/>
    </xf>
    <xf borderId="0" fillId="0" fontId="14" numFmtId="0" xfId="0" applyAlignment="1" applyFont="1">
      <alignment readingOrder="0"/>
    </xf>
    <xf borderId="0" fillId="4" fontId="8" numFmtId="0" xfId="0" applyAlignment="1" applyFill="1" applyFont="1">
      <alignment horizontal="right" vertical="bottom"/>
    </xf>
    <xf borderId="0" fillId="2" fontId="15" numFmtId="0" xfId="0" applyAlignment="1" applyFont="1">
      <alignment horizontal="center" readingOrder="0" shrinkToFit="0" wrapText="0"/>
    </xf>
    <xf borderId="0" fillId="2" fontId="15" numFmtId="10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0"/>
    <col customWidth="1" min="2" max="12" width="17.88"/>
    <col customWidth="1" min="13" max="26" width="8.0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</row>
    <row r="2" ht="12.75" customHeight="1">
      <c r="A2" s="3" t="s">
        <v>11</v>
      </c>
      <c r="B2" s="4">
        <v>9.731E10</v>
      </c>
      <c r="C2" s="4">
        <v>8.141E10</v>
      </c>
      <c r="D2" s="4">
        <v>8.883E10</v>
      </c>
      <c r="E2" s="4">
        <v>9.558E10</v>
      </c>
      <c r="F2" s="4">
        <v>7.659E10</v>
      </c>
      <c r="G2" s="4">
        <v>5.368E10</v>
      </c>
      <c r="H2" s="4">
        <v>8.397E10</v>
      </c>
      <c r="I2" s="4">
        <v>1.2447E11</v>
      </c>
      <c r="J2" s="4">
        <v>1.0241E11</v>
      </c>
      <c r="K2" s="4">
        <v>9.142E10</v>
      </c>
      <c r="L2" s="4"/>
    </row>
    <row r="3" ht="12.7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/>
    </row>
    <row r="4" ht="12.75" customHeight="1">
      <c r="A4" s="3" t="s">
        <v>23</v>
      </c>
      <c r="B4" s="4">
        <v>2.983E10</v>
      </c>
      <c r="C4" s="4">
        <v>2.599E10</v>
      </c>
      <c r="D4" s="4">
        <v>2.868E10</v>
      </c>
      <c r="E4" s="4">
        <v>3.407E10</v>
      </c>
      <c r="F4" s="4">
        <v>3.086E10</v>
      </c>
      <c r="G4" s="4">
        <v>2.449E10</v>
      </c>
      <c r="H4" s="4">
        <v>4.08E10</v>
      </c>
      <c r="I4" s="4">
        <v>6.499E10</v>
      </c>
      <c r="J4" s="4">
        <v>5.397E10</v>
      </c>
      <c r="K4" s="4">
        <v>4.597E10</v>
      </c>
      <c r="L4" s="4"/>
    </row>
    <row r="5" ht="12.75" customHeight="1">
      <c r="A5" s="3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32</v>
      </c>
      <c r="J5" s="5" t="s">
        <v>33</v>
      </c>
      <c r="K5" s="5" t="s">
        <v>34</v>
      </c>
      <c r="L5" s="5"/>
    </row>
    <row r="6" ht="12.75" customHeight="1">
      <c r="A6" s="3" t="s">
        <v>35</v>
      </c>
      <c r="B6" s="4">
        <v>1.471E10</v>
      </c>
      <c r="C6" s="4">
        <v>1.444E10</v>
      </c>
      <c r="D6" s="4">
        <v>1.302E10</v>
      </c>
      <c r="E6" s="4">
        <v>2.322E10</v>
      </c>
      <c r="F6" s="4">
        <v>1.718E10</v>
      </c>
      <c r="G6" s="4">
        <v>1.651E10</v>
      </c>
      <c r="H6" s="4">
        <v>3.333E10</v>
      </c>
      <c r="I6" s="4">
        <v>5.563E10</v>
      </c>
      <c r="J6" s="4">
        <v>3.949E10</v>
      </c>
      <c r="K6" s="4">
        <v>2.569E10</v>
      </c>
      <c r="L6" s="4"/>
    </row>
    <row r="7" ht="12.75" customHeight="1">
      <c r="A7" s="3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5" t="s">
        <v>42</v>
      </c>
      <c r="H7" s="5" t="s">
        <v>43</v>
      </c>
      <c r="I7" s="5" t="s">
        <v>44</v>
      </c>
      <c r="J7" s="5" t="s">
        <v>45</v>
      </c>
      <c r="K7" s="5" t="s">
        <v>46</v>
      </c>
      <c r="L7" s="5"/>
    </row>
    <row r="8" ht="12.75" customHeight="1">
      <c r="A8" s="3" t="s">
        <v>47</v>
      </c>
      <c r="B8" s="4">
        <v>-5.38E9</v>
      </c>
      <c r="C8" s="4">
        <v>1.82E9</v>
      </c>
      <c r="D8" s="4">
        <v>6.81E9</v>
      </c>
      <c r="E8" s="4">
        <v>1.574E10</v>
      </c>
      <c r="F8" s="4">
        <v>1.868E10</v>
      </c>
      <c r="G8" s="4">
        <v>5.47E9</v>
      </c>
      <c r="H8" s="4">
        <v>3.32E10</v>
      </c>
      <c r="I8" s="4">
        <v>5.616E10</v>
      </c>
      <c r="J8" s="4">
        <v>3.902E10</v>
      </c>
      <c r="K8" s="4">
        <v>1.498E10</v>
      </c>
      <c r="L8" s="4"/>
    </row>
    <row r="9" ht="12.75" customHeight="1">
      <c r="A9" s="3" t="s">
        <v>48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53</v>
      </c>
      <c r="G9" s="5" t="s">
        <v>54</v>
      </c>
      <c r="H9" s="5" t="s">
        <v>55</v>
      </c>
      <c r="I9" s="5" t="s">
        <v>56</v>
      </c>
      <c r="J9" s="5" t="s">
        <v>57</v>
      </c>
      <c r="K9" s="5" t="s">
        <v>58</v>
      </c>
      <c r="L9" s="5"/>
    </row>
    <row r="10" ht="12.75" customHeight="1">
      <c r="A10" s="3" t="s">
        <v>59</v>
      </c>
      <c r="B10" s="4">
        <v>6.21E9</v>
      </c>
      <c r="C10" s="4">
        <v>1.578E10</v>
      </c>
      <c r="D10" s="4">
        <v>2.011E10</v>
      </c>
      <c r="E10" s="4">
        <v>2.777E10</v>
      </c>
      <c r="F10" s="4">
        <v>3.352E10</v>
      </c>
      <c r="G10" s="4">
        <v>1.786E10</v>
      </c>
      <c r="H10" s="4">
        <v>4.622E10</v>
      </c>
      <c r="I10" s="4">
        <v>7.086E10</v>
      </c>
      <c r="J10" s="4">
        <v>5.23E10</v>
      </c>
      <c r="K10" s="4">
        <v>2.746E10</v>
      </c>
      <c r="L10" s="4"/>
    </row>
    <row r="11" ht="12.75" customHeight="1">
      <c r="A11" s="3" t="s">
        <v>60</v>
      </c>
      <c r="B11" s="5" t="s">
        <v>61</v>
      </c>
      <c r="C11" s="5" t="s">
        <v>62</v>
      </c>
      <c r="D11" s="5" t="s">
        <v>63</v>
      </c>
      <c r="E11" s="5" t="s">
        <v>64</v>
      </c>
      <c r="F11" s="5" t="s">
        <v>65</v>
      </c>
      <c r="G11" s="5" t="s">
        <v>66</v>
      </c>
      <c r="H11" s="5" t="s">
        <v>67</v>
      </c>
      <c r="I11" s="5" t="s">
        <v>68</v>
      </c>
      <c r="J11" s="5" t="s">
        <v>69</v>
      </c>
      <c r="K11" s="5" t="s">
        <v>70</v>
      </c>
      <c r="L11" s="5"/>
    </row>
    <row r="12" ht="12.75" customHeight="1">
      <c r="A12" s="3" t="s">
        <v>71</v>
      </c>
      <c r="B12" s="4">
        <v>-8.45E9</v>
      </c>
      <c r="C12" s="4">
        <v>-4.84E9</v>
      </c>
      <c r="D12" s="4">
        <v>-9.0E7</v>
      </c>
      <c r="E12" s="4">
        <v>7.17E9</v>
      </c>
      <c r="F12" s="4">
        <v>1.015E10</v>
      </c>
      <c r="G12" s="4">
        <v>1.14E9</v>
      </c>
      <c r="H12" s="4">
        <v>1.988E10</v>
      </c>
      <c r="I12" s="4">
        <v>3.662E10</v>
      </c>
      <c r="J12" s="4">
        <v>2.488E10</v>
      </c>
      <c r="K12" s="4">
        <v>7.53E9</v>
      </c>
      <c r="L12" s="4"/>
    </row>
    <row r="13" ht="12.75" customHeight="1">
      <c r="A13" s="3" t="s">
        <v>72</v>
      </c>
      <c r="B13" s="5" t="s">
        <v>73</v>
      </c>
      <c r="C13" s="5" t="s">
        <v>74</v>
      </c>
      <c r="D13" s="5" t="s">
        <v>75</v>
      </c>
      <c r="E13" s="5" t="s">
        <v>76</v>
      </c>
      <c r="F13" s="5" t="s">
        <v>77</v>
      </c>
      <c r="G13" s="5" t="s">
        <v>78</v>
      </c>
      <c r="H13" s="5" t="s">
        <v>79</v>
      </c>
      <c r="I13" s="5" t="s">
        <v>80</v>
      </c>
      <c r="J13" s="5" t="s">
        <v>81</v>
      </c>
      <c r="K13" s="5" t="s">
        <v>82</v>
      </c>
      <c r="L13" s="5"/>
    </row>
    <row r="14" ht="12.75" customHeight="1">
      <c r="A14" s="3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5" t="s">
        <v>89</v>
      </c>
      <c r="H14" s="5" t="s">
        <v>90</v>
      </c>
      <c r="I14" s="5" t="s">
        <v>91</v>
      </c>
      <c r="J14" s="5" t="s">
        <v>92</v>
      </c>
      <c r="K14" s="5" t="s">
        <v>93</v>
      </c>
      <c r="L14" s="5"/>
    </row>
    <row r="15" ht="12.75" customHeight="1">
      <c r="A15" s="3" t="s">
        <v>94</v>
      </c>
      <c r="B15" s="5" t="s">
        <v>84</v>
      </c>
      <c r="C15" s="5" t="s">
        <v>85</v>
      </c>
      <c r="D15" s="5" t="s">
        <v>86</v>
      </c>
      <c r="E15" s="5" t="s">
        <v>87</v>
      </c>
      <c r="F15" s="5" t="s">
        <v>88</v>
      </c>
      <c r="G15" s="5" t="s">
        <v>89</v>
      </c>
      <c r="H15" s="5" t="s">
        <v>90</v>
      </c>
      <c r="I15" s="5" t="s">
        <v>91</v>
      </c>
      <c r="J15" s="5" t="s">
        <v>92</v>
      </c>
      <c r="K15" s="5" t="s">
        <v>93</v>
      </c>
      <c r="L15" s="5"/>
    </row>
    <row r="16" ht="12.75" customHeight="1">
      <c r="A16" s="3" t="s">
        <v>95</v>
      </c>
      <c r="B16" s="5" t="s">
        <v>96</v>
      </c>
      <c r="C16" s="5" t="s">
        <v>96</v>
      </c>
      <c r="D16" s="5" t="s">
        <v>96</v>
      </c>
      <c r="E16" s="5" t="s">
        <v>97</v>
      </c>
      <c r="F16" s="5" t="s">
        <v>98</v>
      </c>
      <c r="G16" s="5" t="s">
        <v>99</v>
      </c>
      <c r="H16" s="5" t="s">
        <v>100</v>
      </c>
      <c r="I16" s="5" t="s">
        <v>101</v>
      </c>
      <c r="J16" s="5" t="s">
        <v>102</v>
      </c>
      <c r="K16" s="5" t="s">
        <v>103</v>
      </c>
      <c r="L16" s="5"/>
    </row>
    <row r="17" ht="12.75" customHeight="1">
      <c r="A17" s="3" t="s">
        <v>104</v>
      </c>
      <c r="B17" s="5" t="s">
        <v>96</v>
      </c>
      <c r="C17" s="5" t="s">
        <v>96</v>
      </c>
      <c r="D17" s="5" t="s">
        <v>96</v>
      </c>
      <c r="E17" s="5" t="s">
        <v>105</v>
      </c>
      <c r="F17" s="5" t="s">
        <v>106</v>
      </c>
      <c r="G17" s="5" t="s">
        <v>107</v>
      </c>
      <c r="H17" s="5" t="s">
        <v>108</v>
      </c>
      <c r="I17" s="5" t="s">
        <v>109</v>
      </c>
      <c r="J17" s="5" t="s">
        <v>110</v>
      </c>
      <c r="K17" s="5" t="s">
        <v>111</v>
      </c>
      <c r="L17" s="5"/>
    </row>
    <row r="18" ht="12.75" customHeight="1">
      <c r="A18" s="1" t="s">
        <v>112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/>
    </row>
    <row r="19" ht="12.75" customHeight="1">
      <c r="A19" s="3" t="s">
        <v>113</v>
      </c>
      <c r="B19" s="4">
        <v>2.3052E11</v>
      </c>
      <c r="C19" s="4">
        <v>2.4698E11</v>
      </c>
      <c r="D19" s="4">
        <v>2.5137E11</v>
      </c>
      <c r="E19" s="4">
        <v>2.2207E11</v>
      </c>
      <c r="F19" s="4">
        <v>2.2974E11</v>
      </c>
      <c r="G19" s="4">
        <v>1.9001E11</v>
      </c>
      <c r="H19" s="4">
        <v>1.7435E11</v>
      </c>
      <c r="I19" s="4">
        <v>1.8719E11</v>
      </c>
      <c r="J19" s="4">
        <v>2.1707E11</v>
      </c>
      <c r="K19" s="4">
        <v>1.8165E11</v>
      </c>
      <c r="L19" s="4"/>
    </row>
    <row r="20" ht="12.75" customHeight="1">
      <c r="A20" s="3" t="s">
        <v>114</v>
      </c>
      <c r="B20" s="4">
        <v>1.6447E11</v>
      </c>
      <c r="C20" s="4">
        <v>1.6943E11</v>
      </c>
      <c r="D20" s="4">
        <v>1.6986E11</v>
      </c>
      <c r="E20" s="4">
        <v>1.4889E11</v>
      </c>
      <c r="F20" s="4">
        <v>1.5553E11</v>
      </c>
      <c r="G20" s="4">
        <v>1.3013E11</v>
      </c>
      <c r="H20" s="4">
        <v>1.0454E11</v>
      </c>
      <c r="I20" s="4">
        <v>1.1736E11</v>
      </c>
      <c r="J20" s="4">
        <v>1.3809E11</v>
      </c>
      <c r="K20" s="4">
        <v>1.223E11</v>
      </c>
      <c r="L20" s="4"/>
    </row>
    <row r="21" ht="12.75" customHeight="1">
      <c r="A21" s="3" t="s">
        <v>115</v>
      </c>
      <c r="B21" s="4">
        <v>1.2622E11</v>
      </c>
      <c r="C21" s="4">
        <v>1.1837E11</v>
      </c>
      <c r="D21" s="4">
        <v>1.0928E11</v>
      </c>
      <c r="E21" s="4">
        <v>8.436E10</v>
      </c>
      <c r="F21" s="4">
        <v>8.712E10</v>
      </c>
      <c r="G21" s="4">
        <v>7.554E10</v>
      </c>
      <c r="H21" s="4">
        <v>5.874E10</v>
      </c>
      <c r="I21" s="4">
        <v>5.38E10</v>
      </c>
      <c r="J21" s="4">
        <v>6.26E10</v>
      </c>
      <c r="K21" s="4">
        <v>6.031E10</v>
      </c>
      <c r="L21" s="4"/>
    </row>
    <row r="22" ht="12.75" customHeight="1">
      <c r="A22" s="3" t="s">
        <v>116</v>
      </c>
      <c r="B22" s="4">
        <v>6.606E10</v>
      </c>
      <c r="C22" s="4">
        <v>7.755E10</v>
      </c>
      <c r="D22" s="4">
        <v>8.15E10</v>
      </c>
      <c r="E22" s="4">
        <v>7.318E10</v>
      </c>
      <c r="F22" s="4">
        <v>7.422E10</v>
      </c>
      <c r="G22" s="4">
        <v>5.988E10</v>
      </c>
      <c r="H22" s="4">
        <v>6.981E10</v>
      </c>
      <c r="I22" s="4">
        <v>6.984E10</v>
      </c>
      <c r="J22" s="4">
        <v>7.898E10</v>
      </c>
      <c r="K22" s="4">
        <v>5.935E10</v>
      </c>
      <c r="L22" s="4"/>
    </row>
    <row r="23" ht="12.75" customHeight="1">
      <c r="A23" s="3" t="s">
        <v>117</v>
      </c>
      <c r="B23" s="4">
        <v>2.506E10</v>
      </c>
      <c r="C23" s="4">
        <v>2.121E10</v>
      </c>
      <c r="D23" s="4">
        <v>2.252E10</v>
      </c>
      <c r="E23" s="4">
        <v>1.39E10</v>
      </c>
      <c r="F23" s="4">
        <v>7.37E9</v>
      </c>
      <c r="G23" s="4">
        <v>1.171E10</v>
      </c>
      <c r="H23" s="4">
        <v>1.047E10</v>
      </c>
      <c r="I23" s="4">
        <v>8.0E9</v>
      </c>
      <c r="J23" s="4">
        <v>1.273E10</v>
      </c>
      <c r="K23" s="4">
        <v>3.27E9</v>
      </c>
      <c r="L23" s="4"/>
    </row>
    <row r="24" ht="12.75" customHeight="1">
      <c r="A24" s="3" t="s">
        <v>118</v>
      </c>
      <c r="B24" s="4">
        <v>1.486E10</v>
      </c>
      <c r="C24" s="4">
        <v>1.987E10</v>
      </c>
      <c r="D24" s="4">
        <v>2.218E10</v>
      </c>
      <c r="E24" s="4">
        <v>1.201E10</v>
      </c>
      <c r="F24" s="4">
        <v>-1.0E9</v>
      </c>
      <c r="G24" s="4">
        <v>1.16E9</v>
      </c>
      <c r="H24" s="4">
        <v>5.97E9</v>
      </c>
      <c r="I24" s="4">
        <v>-1.3E8</v>
      </c>
      <c r="J24" s="4">
        <v>-1.42E9</v>
      </c>
      <c r="K24" s="4">
        <v>-9.62E9</v>
      </c>
      <c r="L24" s="4"/>
    </row>
    <row r="25" ht="12.75" customHeight="1">
      <c r="A25" s="3" t="s">
        <v>119</v>
      </c>
      <c r="B25" s="6">
        <v>6.522248465E9</v>
      </c>
      <c r="C25" s="6">
        <v>6.522248465E9</v>
      </c>
      <c r="D25" s="6">
        <v>6.522248465E9</v>
      </c>
      <c r="E25" s="6">
        <v>6.522100631E9</v>
      </c>
      <c r="F25" s="6">
        <v>6.522100631E9</v>
      </c>
      <c r="G25" s="6">
        <v>6.522100631E9</v>
      </c>
      <c r="H25" s="6">
        <v>6.522100631E9</v>
      </c>
      <c r="I25" s="6">
        <v>6.522100631E9</v>
      </c>
      <c r="J25" s="6">
        <v>6.470068631E9</v>
      </c>
      <c r="K25" s="6">
        <v>6.454643831E9</v>
      </c>
      <c r="L25" s="6"/>
    </row>
    <row r="26" ht="12.75" customHeight="1">
      <c r="A26" s="3" t="s">
        <v>120</v>
      </c>
      <c r="B26" s="5" t="s">
        <v>121</v>
      </c>
      <c r="C26" s="5" t="s">
        <v>122</v>
      </c>
      <c r="D26" s="5" t="s">
        <v>123</v>
      </c>
      <c r="E26" s="5" t="s">
        <v>124</v>
      </c>
      <c r="F26" s="5" t="s">
        <v>125</v>
      </c>
      <c r="G26" s="5" t="s">
        <v>126</v>
      </c>
      <c r="H26" s="5" t="s">
        <v>127</v>
      </c>
      <c r="I26" s="5" t="s">
        <v>128</v>
      </c>
      <c r="J26" s="5" t="s">
        <v>129</v>
      </c>
      <c r="K26" s="5" t="s">
        <v>130</v>
      </c>
      <c r="L26" s="5"/>
    </row>
    <row r="27" ht="12.75" customHeight="1">
      <c r="A27" s="3" t="s">
        <v>131</v>
      </c>
      <c r="B27" s="5" t="s">
        <v>132</v>
      </c>
      <c r="C27" s="5" t="s">
        <v>133</v>
      </c>
      <c r="D27" s="5" t="s">
        <v>134</v>
      </c>
      <c r="E27" s="5" t="s">
        <v>135</v>
      </c>
      <c r="F27" s="5" t="s">
        <v>136</v>
      </c>
      <c r="G27" s="5" t="s">
        <v>137</v>
      </c>
      <c r="H27" s="5" t="s">
        <v>138</v>
      </c>
      <c r="I27" s="5" t="s">
        <v>139</v>
      </c>
      <c r="J27" s="5" t="s">
        <v>140</v>
      </c>
      <c r="K27" s="5" t="s">
        <v>141</v>
      </c>
      <c r="L27" s="5"/>
    </row>
    <row r="28" ht="12.75" customHeight="1">
      <c r="A28" s="1" t="s">
        <v>142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8</v>
      </c>
      <c r="J28" s="2" t="s">
        <v>9</v>
      </c>
      <c r="K28" s="2" t="s">
        <v>10</v>
      </c>
      <c r="L28" s="2"/>
    </row>
    <row r="29" ht="12.75" customHeight="1">
      <c r="A29" s="3" t="s">
        <v>143</v>
      </c>
      <c r="B29" s="4">
        <v>2.591E10</v>
      </c>
      <c r="C29" s="4">
        <v>2.611E10</v>
      </c>
      <c r="D29" s="4">
        <v>2.711E10</v>
      </c>
      <c r="E29" s="4">
        <v>2.635E10</v>
      </c>
      <c r="F29" s="4">
        <v>2.56E10</v>
      </c>
      <c r="G29" s="4">
        <v>2.889E10</v>
      </c>
      <c r="H29" s="4">
        <v>3.779E10</v>
      </c>
      <c r="I29" s="4">
        <v>4.972E10</v>
      </c>
      <c r="J29" s="4">
        <v>4.321E10</v>
      </c>
      <c r="K29" s="4">
        <v>3.798E10</v>
      </c>
      <c r="L29" s="4"/>
    </row>
    <row r="30" ht="12.75" customHeight="1">
      <c r="A30" s="3" t="s">
        <v>144</v>
      </c>
      <c r="B30" s="4">
        <v>-1.279E10</v>
      </c>
      <c r="C30" s="4">
        <v>-1.13E10</v>
      </c>
      <c r="D30" s="4">
        <v>-1.103E10</v>
      </c>
      <c r="E30" s="4">
        <v>-4.76E9</v>
      </c>
      <c r="F30" s="4">
        <v>-1.68E9</v>
      </c>
      <c r="G30" s="4">
        <v>-4.51E9</v>
      </c>
      <c r="H30" s="4">
        <v>2.16E9</v>
      </c>
      <c r="I30" s="4">
        <v>-4.3E8</v>
      </c>
      <c r="J30" s="4">
        <v>-7.96E9</v>
      </c>
      <c r="K30" s="4">
        <v>-1.337E10</v>
      </c>
      <c r="L30" s="4"/>
    </row>
    <row r="31" ht="12.75" customHeight="1">
      <c r="A31" s="3" t="s">
        <v>145</v>
      </c>
      <c r="B31" s="4">
        <v>-3.59E9</v>
      </c>
      <c r="C31" s="4">
        <v>-1.911E10</v>
      </c>
      <c r="D31" s="4">
        <v>-1.464E10</v>
      </c>
      <c r="E31" s="4">
        <v>-2.959E10</v>
      </c>
      <c r="F31" s="4">
        <v>-3.207E10</v>
      </c>
      <c r="G31" s="4">
        <v>-1.926E10</v>
      </c>
      <c r="H31" s="4">
        <v>-4.079E10</v>
      </c>
      <c r="I31" s="4">
        <v>-5.145E10</v>
      </c>
      <c r="J31" s="4">
        <v>-3.07E10</v>
      </c>
      <c r="K31" s="4">
        <v>-3.309E10</v>
      </c>
      <c r="L31" s="4"/>
    </row>
    <row r="32" ht="12.75" customHeight="1">
      <c r="A32" s="3" t="s">
        <v>146</v>
      </c>
      <c r="B32" s="4">
        <v>2.165E10</v>
      </c>
      <c r="C32" s="4">
        <v>1.409E10</v>
      </c>
      <c r="D32" s="4">
        <v>1.364E10</v>
      </c>
      <c r="E32" s="4">
        <v>1.202E10</v>
      </c>
      <c r="F32" s="4">
        <v>2.39E10</v>
      </c>
      <c r="G32" s="4">
        <v>5.87E9</v>
      </c>
      <c r="H32" s="4">
        <v>6.33E9</v>
      </c>
      <c r="I32" s="4">
        <v>9.58E9</v>
      </c>
      <c r="J32" s="4">
        <v>1.211E10</v>
      </c>
      <c r="K32" s="4">
        <v>1.464E10</v>
      </c>
      <c r="L32" s="4"/>
    </row>
    <row r="33" ht="12.75" customHeight="1">
      <c r="A33" s="3" t="s">
        <v>147</v>
      </c>
      <c r="B33" s="4">
        <v>1.6E8</v>
      </c>
      <c r="C33" s="4">
        <v>6.7E9</v>
      </c>
      <c r="D33" s="4">
        <v>8.64E9</v>
      </c>
      <c r="E33" s="4">
        <v>1.097E10</v>
      </c>
      <c r="F33" s="4">
        <v>3.3E9</v>
      </c>
      <c r="G33" s="4">
        <v>1.743E10</v>
      </c>
      <c r="H33" s="4">
        <v>2.98E10</v>
      </c>
      <c r="I33" s="4">
        <v>4.483E10</v>
      </c>
      <c r="J33" s="4">
        <v>3.289E10</v>
      </c>
      <c r="K33" s="4">
        <v>2.51E10</v>
      </c>
      <c r="L33" s="4"/>
    </row>
    <row r="34" ht="12.75" customHeight="1">
      <c r="A34" s="3" t="s">
        <v>148</v>
      </c>
      <c r="B34" s="4">
        <v>9.53E9</v>
      </c>
      <c r="C34" s="4">
        <v>-4.3E9</v>
      </c>
      <c r="D34" s="4">
        <v>1.44E9</v>
      </c>
      <c r="E34" s="4">
        <v>-8.0E9</v>
      </c>
      <c r="F34" s="4">
        <v>-8.15E9</v>
      </c>
      <c r="G34" s="4">
        <v>5.12E9</v>
      </c>
      <c r="H34" s="4">
        <v>-8.4E8</v>
      </c>
      <c r="I34" s="4">
        <v>-2.17E9</v>
      </c>
      <c r="J34" s="4">
        <v>4.56E9</v>
      </c>
      <c r="K34" s="4">
        <v>-8.47E9</v>
      </c>
      <c r="L34" s="4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</cols>
  <sheetData>
    <row r="1">
      <c r="A1" s="7"/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/>
      <c r="M1" s="10" t="s">
        <v>149</v>
      </c>
      <c r="N1" s="10" t="s">
        <v>150</v>
      </c>
      <c r="O1" s="11" t="s">
        <v>151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2" t="s">
        <v>152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9"/>
      <c r="M2" s="9"/>
      <c r="N2" s="9"/>
      <c r="O2" s="14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5" t="s">
        <v>24</v>
      </c>
      <c r="B3" s="13">
        <v>30.65</v>
      </c>
      <c r="C3" s="13">
        <v>31.92</v>
      </c>
      <c r="D3" s="13">
        <v>32.29</v>
      </c>
      <c r="E3" s="13">
        <v>35.64</v>
      </c>
      <c r="F3" s="13">
        <v>40.29</v>
      </c>
      <c r="G3" s="13">
        <v>45.62</v>
      </c>
      <c r="H3" s="13">
        <v>48.59</v>
      </c>
      <c r="I3" s="13">
        <v>52.21</v>
      </c>
      <c r="J3" s="13">
        <v>52.7</v>
      </c>
      <c r="K3" s="13">
        <v>50.29</v>
      </c>
      <c r="L3" s="9"/>
      <c r="M3" s="16">
        <f t="shared" ref="M3:M5" si="1">AVERAGE(B3:K3)</f>
        <v>42.02</v>
      </c>
      <c r="N3" s="16">
        <f t="shared" ref="N3:N5" si="2">MEDIAN(B3:K3)</f>
        <v>42.955</v>
      </c>
      <c r="O3" s="17">
        <v>42.3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4" t="s">
        <v>36</v>
      </c>
      <c r="B4" s="18">
        <v>15.11</v>
      </c>
      <c r="C4" s="18">
        <v>17.73</v>
      </c>
      <c r="D4" s="18">
        <v>14.66</v>
      </c>
      <c r="E4" s="18">
        <v>24.29</v>
      </c>
      <c r="F4" s="18">
        <v>22.43</v>
      </c>
      <c r="G4" s="18">
        <v>30.76</v>
      </c>
      <c r="H4" s="18">
        <v>39.69</v>
      </c>
      <c r="I4" s="18">
        <v>44.69</v>
      </c>
      <c r="J4" s="18">
        <v>38.56</v>
      </c>
      <c r="K4" s="18">
        <v>28.1</v>
      </c>
      <c r="L4" s="19"/>
      <c r="M4" s="16">
        <f t="shared" si="1"/>
        <v>27.602</v>
      </c>
      <c r="N4" s="16">
        <f t="shared" si="2"/>
        <v>26.195</v>
      </c>
      <c r="O4" s="17">
        <v>4.65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4" t="s">
        <v>72</v>
      </c>
      <c r="B5" s="18">
        <v>-8.85</v>
      </c>
      <c r="C5" s="18">
        <v>-5.34</v>
      </c>
      <c r="D5" s="18">
        <v>0.19</v>
      </c>
      <c r="E5" s="18">
        <v>7.76</v>
      </c>
      <c r="F5" s="18">
        <v>10.19</v>
      </c>
      <c r="G5" s="18">
        <v>1.77</v>
      </c>
      <c r="H5" s="18">
        <v>23.8</v>
      </c>
      <c r="I5" s="18">
        <v>29.53</v>
      </c>
      <c r="J5" s="18">
        <v>24.41</v>
      </c>
      <c r="K5" s="18">
        <v>8.32</v>
      </c>
      <c r="L5" s="19"/>
      <c r="M5" s="16">
        <f t="shared" si="1"/>
        <v>9.178</v>
      </c>
      <c r="N5" s="16">
        <f t="shared" si="2"/>
        <v>8.04</v>
      </c>
      <c r="O5" s="17">
        <v>1.75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153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20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2" t="s">
        <v>154</v>
      </c>
      <c r="B8" s="21">
        <v>1.52</v>
      </c>
      <c r="C8" s="21">
        <v>1.8</v>
      </c>
      <c r="D8" s="21">
        <v>1.89</v>
      </c>
      <c r="E8" s="21">
        <v>1.48</v>
      </c>
      <c r="F8" s="21">
        <v>0.97</v>
      </c>
      <c r="G8" s="21">
        <v>1.04</v>
      </c>
      <c r="H8" s="21">
        <v>1.25</v>
      </c>
      <c r="I8" s="21">
        <v>1.0</v>
      </c>
      <c r="J8" s="21">
        <v>0.96</v>
      </c>
      <c r="K8" s="21">
        <v>0.69</v>
      </c>
      <c r="L8" s="9"/>
      <c r="M8" s="9">
        <f t="shared" ref="M8:M9" si="3">AVERAGE(B8:K8)</f>
        <v>1.26</v>
      </c>
      <c r="N8" s="9">
        <f t="shared" ref="N8:N9" si="4">MEDIAN(B8:K8)</f>
        <v>1.145</v>
      </c>
      <c r="O8" s="17">
        <v>1.2285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2" t="s">
        <v>155</v>
      </c>
      <c r="B9" s="21">
        <v>1.2</v>
      </c>
      <c r="C9" s="21">
        <v>1.18</v>
      </c>
      <c r="D9" s="21">
        <v>1.28</v>
      </c>
      <c r="E9" s="21">
        <v>0.91</v>
      </c>
      <c r="F9" s="21">
        <v>0.54</v>
      </c>
      <c r="G9" s="21">
        <v>0.75</v>
      </c>
      <c r="H9" s="21">
        <v>0.78</v>
      </c>
      <c r="I9" s="21">
        <v>0.54</v>
      </c>
      <c r="J9" s="21">
        <v>0.68</v>
      </c>
      <c r="K9" s="21">
        <v>0.42</v>
      </c>
      <c r="L9" s="9"/>
      <c r="M9" s="9">
        <f t="shared" si="3"/>
        <v>0.828</v>
      </c>
      <c r="N9" s="9">
        <f t="shared" si="4"/>
        <v>0.765</v>
      </c>
      <c r="O9" s="17">
        <v>1.0515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2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2" t="s">
        <v>156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20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2" t="s">
        <v>157</v>
      </c>
      <c r="B12" s="21">
        <v>33.31</v>
      </c>
      <c r="C12" s="21">
        <v>36.13</v>
      </c>
      <c r="D12" s="21">
        <v>36.5</v>
      </c>
      <c r="E12" s="21">
        <v>36.43</v>
      </c>
      <c r="F12" s="21">
        <v>43.6</v>
      </c>
      <c r="G12" s="21">
        <v>37.66</v>
      </c>
      <c r="H12" s="21">
        <v>26.62</v>
      </c>
      <c r="I12" s="21">
        <v>32.29</v>
      </c>
      <c r="J12" s="21">
        <v>43.16</v>
      </c>
      <c r="K12" s="21">
        <v>33.41</v>
      </c>
      <c r="L12" s="21"/>
      <c r="M12" s="9">
        <f t="shared" ref="M12:M14" si="5">AVERAGE(B12:K12)</f>
        <v>35.911</v>
      </c>
      <c r="N12" s="9">
        <f t="shared" ref="N12:N14" si="6">MEDIAN(B12:K12)</f>
        <v>36.28</v>
      </c>
      <c r="O12" s="17">
        <v>37.867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2" t="s">
        <v>158</v>
      </c>
      <c r="B13" s="21">
        <v>7.14</v>
      </c>
      <c r="C13" s="21">
        <v>6.96</v>
      </c>
      <c r="D13" s="21">
        <v>7.09</v>
      </c>
      <c r="E13" s="21">
        <v>7.04</v>
      </c>
      <c r="F13" s="21">
        <v>5.33</v>
      </c>
      <c r="G13" s="21">
        <v>4.21</v>
      </c>
      <c r="H13" s="21">
        <v>6.68</v>
      </c>
      <c r="I13" s="21">
        <v>7.42</v>
      </c>
      <c r="J13" s="21">
        <v>5.89</v>
      </c>
      <c r="K13" s="21">
        <v>6.32</v>
      </c>
      <c r="L13" s="9"/>
      <c r="M13" s="9">
        <f t="shared" si="5"/>
        <v>6.408</v>
      </c>
      <c r="N13" s="9">
        <f t="shared" si="6"/>
        <v>6.82</v>
      </c>
      <c r="O13" s="17">
        <v>17.727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2" t="s">
        <v>159</v>
      </c>
      <c r="B14" s="21">
        <v>0.37</v>
      </c>
      <c r="C14" s="21">
        <v>0.34</v>
      </c>
      <c r="D14" s="21">
        <v>0.36</v>
      </c>
      <c r="E14" s="21">
        <v>0.4</v>
      </c>
      <c r="F14" s="21">
        <v>0.34</v>
      </c>
      <c r="G14" s="21">
        <v>0.26</v>
      </c>
      <c r="H14" s="21">
        <v>0.46</v>
      </c>
      <c r="I14" s="21">
        <v>0.69</v>
      </c>
      <c r="J14" s="21">
        <v>0.51</v>
      </c>
      <c r="K14" s="21">
        <v>0.46</v>
      </c>
      <c r="L14" s="9"/>
      <c r="M14" s="9">
        <f t="shared" si="5"/>
        <v>0.419</v>
      </c>
      <c r="N14" s="9">
        <f t="shared" si="6"/>
        <v>0.385</v>
      </c>
      <c r="O14" s="17">
        <v>0.355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4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2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22" t="s">
        <v>160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2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2" t="s">
        <v>161</v>
      </c>
      <c r="B17" s="21">
        <v>-0.92</v>
      </c>
      <c r="C17" s="21">
        <v>0.39</v>
      </c>
      <c r="D17" s="21">
        <v>1.37</v>
      </c>
      <c r="E17" s="21">
        <v>3.88</v>
      </c>
      <c r="F17" s="21">
        <v>2.8</v>
      </c>
      <c r="G17" s="21">
        <v>0.96</v>
      </c>
      <c r="H17" s="21">
        <v>6.67</v>
      </c>
      <c r="I17" s="21">
        <v>17.17</v>
      </c>
      <c r="J17" s="21">
        <v>10.78</v>
      </c>
      <c r="K17" s="21">
        <v>3.9</v>
      </c>
      <c r="L17" s="9"/>
      <c r="M17" s="9">
        <f t="shared" ref="M17:M19" si="7">AVERAGE(B17:K17)</f>
        <v>4.7</v>
      </c>
      <c r="N17" s="9">
        <f t="shared" ref="N17:N19" si="8">MEDIAN(B17:K17)</f>
        <v>3.34</v>
      </c>
      <c r="O17" s="17">
        <v>1.643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2" t="s">
        <v>162</v>
      </c>
      <c r="B18" s="21">
        <v>1.71</v>
      </c>
      <c r="C18" s="21">
        <v>1.41</v>
      </c>
      <c r="D18" s="21">
        <v>1.28</v>
      </c>
      <c r="E18" s="21">
        <v>1.13</v>
      </c>
      <c r="F18" s="21">
        <v>1.05</v>
      </c>
      <c r="G18" s="21">
        <v>1.11</v>
      </c>
      <c r="H18" s="21">
        <v>0.72</v>
      </c>
      <c r="I18" s="21">
        <v>0.64</v>
      </c>
      <c r="J18" s="21">
        <v>0.65</v>
      </c>
      <c r="K18" s="21">
        <v>0.83</v>
      </c>
      <c r="L18" s="9"/>
      <c r="M18" s="9">
        <f t="shared" si="7"/>
        <v>1.053</v>
      </c>
      <c r="N18" s="9">
        <f t="shared" si="8"/>
        <v>1.08</v>
      </c>
      <c r="O18" s="17">
        <v>0.9515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4" t="s">
        <v>163</v>
      </c>
      <c r="B19" s="10">
        <f>ROUND(Financials!B21 /(Financials!B21+ Financials!B22), 2)</f>
        <v>0.66</v>
      </c>
      <c r="C19" s="10">
        <f>ROUND(Financials!C21 /(Financials!C21+ Financials!C22), 2)</f>
        <v>0.6</v>
      </c>
      <c r="D19" s="10">
        <f>ROUND(Financials!D21 /(Financials!D21+ Financials!D22), 2)</f>
        <v>0.57</v>
      </c>
      <c r="E19" s="10">
        <f>ROUND(Financials!E21 /(Financials!E21+ Financials!E22), 2)</f>
        <v>0.54</v>
      </c>
      <c r="F19" s="10">
        <f>ROUND(Financials!F21 /(Financials!F21+ Financials!F22), 2)</f>
        <v>0.54</v>
      </c>
      <c r="G19" s="10">
        <f>ROUND(Financials!G21 /(Financials!G21+ Financials!G22), 2)</f>
        <v>0.56</v>
      </c>
      <c r="H19" s="10">
        <f>ROUND(Financials!H21 /(Financials!H21+ Financials!H22), 2)</f>
        <v>0.46</v>
      </c>
      <c r="I19" s="10">
        <f>ROUND(Financials!I21 /(Financials!I21+ Financials!I22), 2)</f>
        <v>0.44</v>
      </c>
      <c r="J19" s="10">
        <f>ROUND(Financials!J21 /(Financials!J21+ Financials!J22), 2)</f>
        <v>0.44</v>
      </c>
      <c r="K19" s="10">
        <f>ROUND(Financials!K21 /(Financials!K21+ Financials!K22), 2)</f>
        <v>0.5</v>
      </c>
      <c r="L19" s="9"/>
      <c r="M19" s="9">
        <f t="shared" si="7"/>
        <v>0.531</v>
      </c>
      <c r="N19" s="9">
        <f t="shared" si="8"/>
        <v>0.54</v>
      </c>
      <c r="O19" s="17">
        <v>0.4415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4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20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22" t="s">
        <v>164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20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4" t="s">
        <v>165</v>
      </c>
      <c r="B22" s="10" t="s">
        <v>166</v>
      </c>
      <c r="C22" s="23">
        <v>0.82</v>
      </c>
      <c r="D22" s="23">
        <v>0.81</v>
      </c>
      <c r="E22" s="23">
        <v>1.17</v>
      </c>
      <c r="F22" s="23">
        <v>1.41</v>
      </c>
      <c r="G22" s="23">
        <v>1.67</v>
      </c>
      <c r="H22" s="23">
        <v>1.06</v>
      </c>
      <c r="I22" s="23">
        <v>1.01</v>
      </c>
      <c r="J22" s="23">
        <v>1.35</v>
      </c>
      <c r="K22" s="23">
        <v>1.15</v>
      </c>
      <c r="L22" s="24"/>
      <c r="M22" s="9">
        <f t="shared" ref="M22:M24" si="9">ROUND(AVERAGE(B22:K22), 2)</f>
        <v>1.16</v>
      </c>
      <c r="N22" s="9">
        <f t="shared" ref="N22:N24" si="10">MEDIAN(B22:K22)</f>
        <v>1.15</v>
      </c>
      <c r="O22" s="17">
        <v>1.356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4" t="s">
        <v>167</v>
      </c>
      <c r="B23" s="25" t="s">
        <v>166</v>
      </c>
      <c r="C23" s="25" t="s">
        <v>166</v>
      </c>
      <c r="D23" s="25">
        <v>28.58</v>
      </c>
      <c r="E23" s="25">
        <v>17.12</v>
      </c>
      <c r="F23" s="25">
        <v>16.6</v>
      </c>
      <c r="G23" s="25" t="s">
        <v>166</v>
      </c>
      <c r="H23" s="25">
        <v>2.79</v>
      </c>
      <c r="I23" s="25">
        <v>2.04</v>
      </c>
      <c r="J23" s="25">
        <v>3.88</v>
      </c>
      <c r="K23" s="25">
        <v>5.02</v>
      </c>
      <c r="L23" s="25"/>
      <c r="M23" s="9">
        <f t="shared" si="9"/>
        <v>10.86</v>
      </c>
      <c r="N23" s="9">
        <f t="shared" si="10"/>
        <v>5.02</v>
      </c>
      <c r="O23" s="17">
        <v>3.5735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4" t="s">
        <v>168</v>
      </c>
      <c r="B24" s="10" t="s">
        <v>166</v>
      </c>
      <c r="C24" s="25" t="s">
        <v>166</v>
      </c>
      <c r="D24" s="25">
        <v>13.53</v>
      </c>
      <c r="E24" s="25">
        <v>13.99</v>
      </c>
      <c r="F24" s="25">
        <v>10.04</v>
      </c>
      <c r="G24" s="25" t="s">
        <v>166</v>
      </c>
      <c r="H24" s="25">
        <v>2.93</v>
      </c>
      <c r="I24" s="25">
        <v>2.12</v>
      </c>
      <c r="J24" s="25">
        <v>3.68</v>
      </c>
      <c r="K24" s="25">
        <v>4.64</v>
      </c>
      <c r="L24" s="9"/>
      <c r="M24" s="9">
        <f t="shared" si="9"/>
        <v>7.28</v>
      </c>
      <c r="N24" s="9">
        <f t="shared" si="10"/>
        <v>4.64</v>
      </c>
      <c r="O24" s="17">
        <v>5.526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4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20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2" t="s">
        <v>169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20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4" t="s">
        <v>170</v>
      </c>
      <c r="B27" s="26">
        <v>-0.0319</v>
      </c>
      <c r="C27" s="26">
        <v>-0.0203</v>
      </c>
      <c r="D27" s="26">
        <v>-4.0E-4</v>
      </c>
      <c r="E27" s="26">
        <v>0.0303</v>
      </c>
      <c r="F27" s="26">
        <v>0.0449</v>
      </c>
      <c r="G27" s="26">
        <v>0.0054</v>
      </c>
      <c r="H27" s="26">
        <v>0.1091</v>
      </c>
      <c r="I27" s="26">
        <v>0.2026</v>
      </c>
      <c r="J27" s="26">
        <v>0.1231</v>
      </c>
      <c r="K27" s="26">
        <v>0.0378</v>
      </c>
      <c r="L27" s="9"/>
      <c r="M27" s="27">
        <f t="shared" ref="M27:M29" si="11">AVERAGE(B27:K27)</f>
        <v>0.05006</v>
      </c>
      <c r="N27" s="27">
        <f t="shared" ref="N27:N29" si="12">MEDIAN(B27:K27)</f>
        <v>0.03405</v>
      </c>
      <c r="O27" s="28">
        <v>11.7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4" t="s">
        <v>171</v>
      </c>
      <c r="B28" s="29">
        <v>-0.0931</v>
      </c>
      <c r="C28" s="29">
        <v>-0.0681</v>
      </c>
      <c r="D28" s="29">
        <v>-0.0012</v>
      </c>
      <c r="E28" s="29">
        <v>0.0948</v>
      </c>
      <c r="F28" s="29">
        <v>0.1401</v>
      </c>
      <c r="G28" s="29">
        <v>0.0172</v>
      </c>
      <c r="H28" s="29">
        <v>0.3087</v>
      </c>
      <c r="I28" s="29">
        <v>0.5273</v>
      </c>
      <c r="J28" s="29">
        <v>0.3361</v>
      </c>
      <c r="K28" s="29">
        <v>0.1093</v>
      </c>
      <c r="L28" s="9"/>
      <c r="M28" s="27">
        <f t="shared" si="11"/>
        <v>0.13711</v>
      </c>
      <c r="N28" s="27">
        <f t="shared" si="12"/>
        <v>0.10205</v>
      </c>
      <c r="O28" s="28">
        <v>2.7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4" t="s">
        <v>172</v>
      </c>
      <c r="B29" s="29">
        <v>-0.0209</v>
      </c>
      <c r="C29" s="29">
        <v>-0.002</v>
      </c>
      <c r="D29" s="29">
        <v>0.016</v>
      </c>
      <c r="E29" s="29">
        <v>0.0545</v>
      </c>
      <c r="F29" s="29">
        <v>0.0916</v>
      </c>
      <c r="G29" s="29">
        <v>0.0332</v>
      </c>
      <c r="H29" s="29">
        <v>0.178</v>
      </c>
      <c r="I29" s="29">
        <v>0.3057</v>
      </c>
      <c r="J29" s="29">
        <v>0.2075</v>
      </c>
      <c r="K29" s="29">
        <v>0.0779</v>
      </c>
      <c r="L29" s="9"/>
      <c r="M29" s="27">
        <f t="shared" si="11"/>
        <v>0.09415</v>
      </c>
      <c r="N29" s="27">
        <f t="shared" si="12"/>
        <v>0.0662</v>
      </c>
      <c r="O29" s="28">
        <v>3.7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30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</cols>
  <sheetData>
    <row r="1">
      <c r="A1" s="31" t="s">
        <v>173</v>
      </c>
      <c r="B1" s="32"/>
      <c r="C1" s="32"/>
      <c r="D1" s="32"/>
      <c r="E1" s="32"/>
      <c r="F1" s="32"/>
      <c r="G1" s="32"/>
      <c r="H1" s="32"/>
      <c r="I1" s="32"/>
    </row>
    <row r="2">
      <c r="A2" s="32"/>
      <c r="B2" s="33">
        <v>2020.0</v>
      </c>
      <c r="C2" s="33">
        <v>2021.0</v>
      </c>
      <c r="D2" s="33">
        <v>2022.0</v>
      </c>
      <c r="E2" s="33">
        <v>2023.0</v>
      </c>
      <c r="F2" s="33">
        <v>2024.0</v>
      </c>
      <c r="G2" s="32"/>
      <c r="H2" s="33" t="s">
        <v>174</v>
      </c>
      <c r="I2" s="33" t="s">
        <v>175</v>
      </c>
    </row>
    <row r="3">
      <c r="A3" s="34" t="s">
        <v>176</v>
      </c>
      <c r="B3" s="35">
        <v>0.09</v>
      </c>
      <c r="C3" s="35">
        <v>2.04</v>
      </c>
      <c r="D3" s="35">
        <v>6.45</v>
      </c>
      <c r="E3" s="35">
        <v>2.98</v>
      </c>
      <c r="F3" s="35">
        <v>2.35</v>
      </c>
      <c r="G3" s="36"/>
      <c r="H3" s="37">
        <f t="shared" ref="H3:H6" si="2">AVERAGE(B3:F3)</f>
        <v>2.782</v>
      </c>
      <c r="I3" s="37">
        <f t="shared" ref="I3:I6" si="3">MEDIAN(B3:F3)</f>
        <v>2.35</v>
      </c>
    </row>
    <row r="4">
      <c r="A4" s="34" t="s">
        <v>177</v>
      </c>
      <c r="B4" s="38">
        <v>-0.59</v>
      </c>
      <c r="C4" s="27">
        <f t="shared" ref="C4:F4" si="1">((C3-B3)/B3)</f>
        <v>21.66666667</v>
      </c>
      <c r="D4" s="27">
        <f t="shared" si="1"/>
        <v>2.161764706</v>
      </c>
      <c r="E4" s="27">
        <f t="shared" si="1"/>
        <v>-0.5379844961</v>
      </c>
      <c r="F4" s="27">
        <f t="shared" si="1"/>
        <v>-0.211409396</v>
      </c>
      <c r="H4" s="39">
        <f t="shared" si="2"/>
        <v>4.497807496</v>
      </c>
      <c r="I4" s="39">
        <f t="shared" si="3"/>
        <v>-0.211409396</v>
      </c>
    </row>
    <row r="5">
      <c r="A5" s="34" t="s">
        <v>178</v>
      </c>
      <c r="B5" s="40">
        <v>52.1</v>
      </c>
      <c r="C5" s="40">
        <v>67.15</v>
      </c>
      <c r="D5" s="40">
        <v>114.79</v>
      </c>
      <c r="E5" s="40">
        <v>78.0</v>
      </c>
      <c r="F5" s="40">
        <v>202.33</v>
      </c>
      <c r="G5" s="41"/>
      <c r="H5" s="42">
        <f t="shared" si="2"/>
        <v>102.874</v>
      </c>
      <c r="I5" s="42">
        <f t="shared" si="3"/>
        <v>78</v>
      </c>
    </row>
    <row r="6">
      <c r="A6" s="34" t="s">
        <v>179</v>
      </c>
      <c r="B6" s="25">
        <v>0.84</v>
      </c>
      <c r="C6" s="25">
        <v>18.59</v>
      </c>
      <c r="D6" s="25">
        <v>60.57</v>
      </c>
      <c r="E6" s="25">
        <v>18.66</v>
      </c>
      <c r="F6" s="25">
        <v>21.96</v>
      </c>
      <c r="G6" s="36"/>
      <c r="H6" s="42">
        <f t="shared" si="2"/>
        <v>24.124</v>
      </c>
      <c r="I6" s="42">
        <f t="shared" si="3"/>
        <v>18.66</v>
      </c>
    </row>
    <row r="7">
      <c r="A7" s="32"/>
      <c r="B7" s="43"/>
    </row>
    <row r="8">
      <c r="A8" s="34" t="s">
        <v>180</v>
      </c>
      <c r="B8" s="39">
        <f>I4</f>
        <v>-0.211409396</v>
      </c>
    </row>
    <row r="9">
      <c r="A9" s="34" t="s">
        <v>181</v>
      </c>
      <c r="B9" s="39">
        <f>(1-H5/100)* AVERAGE('Financial ratios'!G28:K28)/100</f>
        <v>-0.000074643528</v>
      </c>
    </row>
    <row r="10">
      <c r="A10" s="34" t="s">
        <v>182</v>
      </c>
      <c r="B10" s="39">
        <f>B11-H6/100</f>
        <v>-0.06724</v>
      </c>
    </row>
    <row r="11">
      <c r="A11" s="34" t="s">
        <v>183</v>
      </c>
      <c r="B11" s="44">
        <v>0.174</v>
      </c>
    </row>
    <row r="12">
      <c r="A12" s="32"/>
    </row>
    <row r="13">
      <c r="A13" s="45" t="s">
        <v>184</v>
      </c>
      <c r="B13" s="46" t="s">
        <v>185</v>
      </c>
    </row>
    <row r="14">
      <c r="A14" s="34" t="s">
        <v>186</v>
      </c>
      <c r="B14" s="47">
        <v>0.0</v>
      </c>
      <c r="C14" s="47">
        <v>1.0</v>
      </c>
      <c r="D14" s="47">
        <v>2.0</v>
      </c>
      <c r="E14" s="47">
        <v>3.0</v>
      </c>
      <c r="F14" s="47">
        <v>4.0</v>
      </c>
      <c r="G14" s="47">
        <v>5.0</v>
      </c>
      <c r="H14" s="47">
        <v>6.0</v>
      </c>
    </row>
    <row r="15">
      <c r="A15" s="34" t="s">
        <v>187</v>
      </c>
      <c r="B15" s="48">
        <f>F3</f>
        <v>2.35</v>
      </c>
      <c r="C15" s="37">
        <f t="shared" ref="C15:G15" si="4">B15*(1+$B$8)</f>
        <v>1.853187919</v>
      </c>
      <c r="D15" s="37">
        <f t="shared" si="4"/>
        <v>1.461406581</v>
      </c>
      <c r="E15" s="37">
        <f t="shared" si="4"/>
        <v>1.152451498</v>
      </c>
      <c r="F15" s="37">
        <f t="shared" si="4"/>
        <v>0.9088124231</v>
      </c>
      <c r="G15" s="37">
        <f t="shared" si="4"/>
        <v>0.7166809377</v>
      </c>
      <c r="H15" s="37">
        <f>G15*(1+B9)</f>
        <v>0.7166274421</v>
      </c>
    </row>
    <row r="16">
      <c r="A16" s="34" t="s">
        <v>188</v>
      </c>
      <c r="B16" s="37">
        <f>H15/(B11-B9)</f>
        <v>4.116782477</v>
      </c>
    </row>
    <row r="17">
      <c r="A17" s="34" t="s">
        <v>189</v>
      </c>
      <c r="B17" s="49">
        <f t="array" ref="B17">NPV(B11,C15:G15)</f>
        <v>4.150833434</v>
      </c>
    </row>
    <row r="18">
      <c r="A18" s="45" t="s">
        <v>190</v>
      </c>
      <c r="B18" s="49">
        <f>B17+B16/(1+B11)^5</f>
        <v>5.996772818</v>
      </c>
    </row>
    <row r="19">
      <c r="A19" s="34" t="s">
        <v>191</v>
      </c>
      <c r="B19" s="48">
        <v>13.16</v>
      </c>
    </row>
    <row r="20">
      <c r="A20" s="32"/>
    </row>
    <row r="21">
      <c r="A21" s="45" t="s">
        <v>192</v>
      </c>
      <c r="B21" s="46" t="s">
        <v>193</v>
      </c>
    </row>
    <row r="22">
      <c r="A22" s="34" t="s">
        <v>186</v>
      </c>
      <c r="B22" s="47">
        <v>0.0</v>
      </c>
      <c r="C22" s="47">
        <v>1.0</v>
      </c>
      <c r="D22" s="47">
        <v>2.0</v>
      </c>
      <c r="E22" s="47">
        <v>3.0</v>
      </c>
      <c r="F22" s="47">
        <v>4.0</v>
      </c>
      <c r="G22" s="47">
        <v>5.0</v>
      </c>
      <c r="H22" s="47">
        <v>6.0</v>
      </c>
    </row>
    <row r="23">
      <c r="A23" s="34" t="s">
        <v>194</v>
      </c>
      <c r="B23" s="48">
        <v>2.35</v>
      </c>
      <c r="C23" s="37">
        <f t="shared" ref="C23:G23" si="5">B23*(1+$B$8)</f>
        <v>1.853187919</v>
      </c>
      <c r="D23" s="37">
        <f t="shared" si="5"/>
        <v>1.461406581</v>
      </c>
      <c r="E23" s="37">
        <f t="shared" si="5"/>
        <v>1.152451498</v>
      </c>
      <c r="F23" s="37">
        <f t="shared" si="5"/>
        <v>0.9088124231</v>
      </c>
      <c r="G23" s="37">
        <f t="shared" si="5"/>
        <v>0.7166809377</v>
      </c>
      <c r="H23" s="37">
        <f>G23*(1+B10)</f>
        <v>0.6684913115</v>
      </c>
    </row>
    <row r="24">
      <c r="A24" s="34" t="s">
        <v>188</v>
      </c>
      <c r="B24" s="37">
        <f>H23/(B11-B10)</f>
        <v>2.771063304</v>
      </c>
    </row>
    <row r="25">
      <c r="A25" s="34" t="s">
        <v>189</v>
      </c>
      <c r="B25" s="49">
        <f t="array" ref="B25">NPV(B11,C23:G23)</f>
        <v>4.150833434</v>
      </c>
    </row>
    <row r="26">
      <c r="A26" s="45" t="s">
        <v>190</v>
      </c>
      <c r="B26" s="49">
        <f>B25+B24/(1+B11)^5</f>
        <v>5.3933608</v>
      </c>
    </row>
    <row r="27">
      <c r="A27" s="34" t="s">
        <v>191</v>
      </c>
      <c r="B27" s="48">
        <v>13.16</v>
      </c>
    </row>
  </sheetData>
  <mergeCells count="2">
    <mergeCell ref="B13:F13"/>
    <mergeCell ref="B21:H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9" max="9" width="19.0"/>
  </cols>
  <sheetData>
    <row r="1">
      <c r="A1" s="45" t="s">
        <v>195</v>
      </c>
    </row>
    <row r="2">
      <c r="A2" s="32"/>
      <c r="B2" s="33">
        <v>2020.0</v>
      </c>
      <c r="C2" s="33">
        <v>2021.0</v>
      </c>
      <c r="D2" s="33">
        <v>2022.0</v>
      </c>
      <c r="E2" s="33">
        <v>2023.0</v>
      </c>
      <c r="F2" s="33">
        <v>2024.0</v>
      </c>
      <c r="G2" s="32"/>
      <c r="H2" s="33" t="s">
        <v>149</v>
      </c>
      <c r="I2" s="33" t="s">
        <v>196</v>
      </c>
    </row>
    <row r="3">
      <c r="A3" s="34" t="s">
        <v>197</v>
      </c>
      <c r="B3" s="39">
        <f>Financials!G8/Financials!G2</f>
        <v>0.101900149</v>
      </c>
      <c r="C3" s="39">
        <f>Financials!H8/Financials!H2</f>
        <v>0.3953793021</v>
      </c>
      <c r="D3" s="39">
        <f>Financials!I8/Financials!I2</f>
        <v>0.4511930586</v>
      </c>
      <c r="E3" s="39">
        <f>Financials!J8/Financials!J2</f>
        <v>0.3810174788</v>
      </c>
      <c r="F3" s="39">
        <f>Financials!K8/Financials!K2</f>
        <v>0.1638591118</v>
      </c>
      <c r="H3" s="39">
        <f>AVERAGE(B3:F3)</f>
        <v>0.2986698201</v>
      </c>
      <c r="I3" s="39">
        <f>MEDIAN(B3:F3)</f>
        <v>0.3810174788</v>
      </c>
    </row>
    <row r="4">
      <c r="A4" s="34" t="s">
        <v>198</v>
      </c>
      <c r="B4" s="50">
        <v>5.87E9</v>
      </c>
      <c r="C4" s="4">
        <v>6.33E9</v>
      </c>
      <c r="D4" s="4">
        <v>9.58E9</v>
      </c>
      <c r="E4" s="4">
        <v>1.211E10</v>
      </c>
      <c r="F4" s="4">
        <v>1.464E10</v>
      </c>
    </row>
    <row r="5">
      <c r="A5" s="34" t="s">
        <v>199</v>
      </c>
      <c r="B5" s="51">
        <v>1.1445E10</v>
      </c>
      <c r="C5" s="51">
        <v>1.1695E10</v>
      </c>
      <c r="D5" s="51">
        <v>1.3218E10</v>
      </c>
      <c r="E5" s="51">
        <v>1.328E10</v>
      </c>
      <c r="F5" s="51">
        <v>1.2479E10</v>
      </c>
    </row>
    <row r="6">
      <c r="A6" s="34" t="s">
        <v>200</v>
      </c>
      <c r="B6" s="39">
        <f>(B4-B5)/Financials!G2</f>
        <v>-0.1038561848</v>
      </c>
      <c r="C6" s="39">
        <f>(C4-C5)/Financials!H2</f>
        <v>-0.06389186614</v>
      </c>
      <c r="D6" s="39">
        <f>(D4-D5)/Financials!I2</f>
        <v>-0.02922792641</v>
      </c>
      <c r="E6" s="39">
        <f>(E4-E5)/Financials!J2</f>
        <v>-0.01142466556</v>
      </c>
      <c r="F6" s="39">
        <f>(F4-F5)/Financials!K2</f>
        <v>0.02363815358</v>
      </c>
      <c r="H6" s="39">
        <f>AVERAGE(B6:F6)</f>
        <v>-0.03695249787</v>
      </c>
      <c r="I6" s="39">
        <f>MEDIAN(B6:F6)</f>
        <v>-0.02922792641</v>
      </c>
    </row>
    <row r="7">
      <c r="A7" s="34" t="s">
        <v>201</v>
      </c>
      <c r="B7" s="51">
        <v>7.326E9</v>
      </c>
      <c r="C7" s="51">
        <v>7.714E9</v>
      </c>
      <c r="D7" s="51">
        <v>6.317E9</v>
      </c>
      <c r="E7" s="51">
        <v>7.313E9</v>
      </c>
      <c r="F7" s="51">
        <v>5.532E9</v>
      </c>
    </row>
    <row r="8">
      <c r="A8" s="34" t="s">
        <v>202</v>
      </c>
      <c r="B8" s="51">
        <v>5.677E9</v>
      </c>
      <c r="C8" s="51">
        <v>7.255E9</v>
      </c>
      <c r="D8" s="51">
        <v>8.779E9</v>
      </c>
      <c r="E8" s="51">
        <v>7.681E9</v>
      </c>
      <c r="F8" s="51">
        <v>6.71E9</v>
      </c>
    </row>
    <row r="9">
      <c r="A9" s="34" t="s">
        <v>203</v>
      </c>
      <c r="B9" s="51">
        <v>1.0551E10</v>
      </c>
      <c r="C9" s="51">
        <v>1.0217E10</v>
      </c>
      <c r="D9" s="51">
        <v>1.5566E10</v>
      </c>
      <c r="E9" s="51">
        <v>1.3818E10</v>
      </c>
      <c r="F9" s="51">
        <v>1.3423E10</v>
      </c>
    </row>
    <row r="10">
      <c r="A10" s="34" t="s">
        <v>204</v>
      </c>
      <c r="B10" s="39">
        <f>(B7+B8-B9)/Financials!G2</f>
        <v>0.0456780924</v>
      </c>
      <c r="C10" s="39">
        <f>(C7+C8-C9)/Financials!H2</f>
        <v>0.05659163987</v>
      </c>
      <c r="D10" s="39">
        <f>(D7+D8-D9)/Financials!I2</f>
        <v>-0.003776010284</v>
      </c>
      <c r="E10" s="39">
        <f>(E7+E8-E9)/Financials!J2</f>
        <v>0.01148325359</v>
      </c>
      <c r="F10" s="39">
        <f>(F7+F8-F9)/Financials!K2</f>
        <v>-0.0129183986</v>
      </c>
      <c r="H10" s="39">
        <f t="shared" ref="H10:H11" si="1">AVERAGE(B10:F10)</f>
        <v>0.0194117154</v>
      </c>
      <c r="I10" s="39">
        <f t="shared" ref="I10:I11" si="2">MEDIAN(B10:F10)</f>
        <v>0.01148325359</v>
      </c>
    </row>
    <row r="11">
      <c r="A11" s="34" t="s">
        <v>205</v>
      </c>
      <c r="B11" s="52">
        <v>0.31</v>
      </c>
      <c r="C11" s="52">
        <v>0.29</v>
      </c>
      <c r="D11" s="52">
        <v>0.31</v>
      </c>
      <c r="E11" s="52">
        <v>0.29</v>
      </c>
      <c r="F11" s="52">
        <v>0.32</v>
      </c>
      <c r="H11" s="39">
        <f t="shared" si="1"/>
        <v>0.304</v>
      </c>
      <c r="I11" s="39">
        <f t="shared" si="2"/>
        <v>0.31</v>
      </c>
    </row>
    <row r="12">
      <c r="A12" s="32"/>
    </row>
    <row r="13">
      <c r="A13" s="34" t="s">
        <v>206</v>
      </c>
      <c r="B13" s="53">
        <v>-0.2991</v>
      </c>
      <c r="C13" s="53">
        <v>0.5641</v>
      </c>
      <c r="D13" s="53">
        <v>0.4824</v>
      </c>
      <c r="E13" s="53">
        <v>-0.1773</v>
      </c>
      <c r="F13" s="53">
        <v>-0.1073</v>
      </c>
      <c r="H13" s="39">
        <f>AVERAGE(B13:F13)</f>
        <v>0.09256</v>
      </c>
      <c r="I13" s="39">
        <f>MEDIAN(B13:F13)</f>
        <v>-0.1073</v>
      </c>
    </row>
    <row r="14">
      <c r="A14" s="34" t="s">
        <v>207</v>
      </c>
      <c r="B14" s="44">
        <v>0.025</v>
      </c>
    </row>
    <row r="15">
      <c r="A15" s="34" t="s">
        <v>208</v>
      </c>
      <c r="B15" s="54">
        <f>'Cost of Capital'!B28</f>
        <v>0.1424924609</v>
      </c>
    </row>
    <row r="16">
      <c r="A16" s="34" t="s">
        <v>209</v>
      </c>
      <c r="B16" s="44">
        <f>'Cost of Capital'!B29</f>
        <v>0.1453642535</v>
      </c>
    </row>
    <row r="17">
      <c r="A17" s="32"/>
    </row>
    <row r="18">
      <c r="A18" s="55" t="s">
        <v>210</v>
      </c>
    </row>
    <row r="19">
      <c r="A19" s="34" t="s">
        <v>186</v>
      </c>
      <c r="B19" s="47">
        <v>0.0</v>
      </c>
      <c r="C19" s="47">
        <v>1.0</v>
      </c>
      <c r="D19" s="47">
        <v>2.0</v>
      </c>
      <c r="E19" s="47">
        <v>3.0</v>
      </c>
      <c r="F19" s="47">
        <v>4.0</v>
      </c>
      <c r="G19" s="47">
        <v>5.0</v>
      </c>
      <c r="H19" s="47">
        <v>6.0</v>
      </c>
    </row>
    <row r="20">
      <c r="A20" s="34" t="s">
        <v>211</v>
      </c>
      <c r="B20" s="56">
        <f>Financials!K2</f>
        <v>91420000000</v>
      </c>
      <c r="C20" s="56">
        <f t="shared" ref="C20:H20" si="3">B20*(1+$H$13)</f>
        <v>99881835200</v>
      </c>
      <c r="D20" s="56">
        <f t="shared" si="3"/>
        <v>109126897866</v>
      </c>
      <c r="E20" s="56">
        <f t="shared" si="3"/>
        <v>119227683533</v>
      </c>
      <c r="F20" s="56">
        <f t="shared" si="3"/>
        <v>130263397920</v>
      </c>
      <c r="G20" s="56">
        <f t="shared" si="3"/>
        <v>142320578032</v>
      </c>
      <c r="H20" s="56">
        <f t="shared" si="3"/>
        <v>155493770735</v>
      </c>
    </row>
    <row r="21">
      <c r="A21" s="34" t="s">
        <v>47</v>
      </c>
      <c r="C21" s="56">
        <f t="shared" ref="C21:H21" si="4">C20*$H$3</f>
        <v>29831689746</v>
      </c>
      <c r="D21" s="56">
        <f t="shared" si="4"/>
        <v>32592910949</v>
      </c>
      <c r="E21" s="56">
        <f t="shared" si="4"/>
        <v>35609710786</v>
      </c>
      <c r="F21" s="56">
        <f t="shared" si="4"/>
        <v>38905745617</v>
      </c>
      <c r="G21" s="56">
        <f t="shared" si="4"/>
        <v>42506861431</v>
      </c>
      <c r="H21" s="56">
        <f t="shared" si="4"/>
        <v>46441296525</v>
      </c>
    </row>
    <row r="22">
      <c r="A22" s="34" t="s">
        <v>212</v>
      </c>
      <c r="C22" s="56">
        <f t="shared" ref="C22:H22" si="5">C21*(1-$H$11)</f>
        <v>20762856063</v>
      </c>
      <c r="D22" s="56">
        <f t="shared" si="5"/>
        <v>22684666021</v>
      </c>
      <c r="E22" s="56">
        <f t="shared" si="5"/>
        <v>24784358707</v>
      </c>
      <c r="F22" s="56">
        <f t="shared" si="5"/>
        <v>27078398949</v>
      </c>
      <c r="G22" s="56">
        <f t="shared" si="5"/>
        <v>29584775556</v>
      </c>
      <c r="H22" s="56">
        <f t="shared" si="5"/>
        <v>32323142382</v>
      </c>
    </row>
    <row r="23">
      <c r="A23" s="34" t="s">
        <v>213</v>
      </c>
      <c r="C23" s="56">
        <f t="shared" ref="C23:H23" si="6">(C20-B20)*$H$6</f>
        <v>-312685947.2</v>
      </c>
      <c r="D23" s="56">
        <f t="shared" si="6"/>
        <v>-341628158.4</v>
      </c>
      <c r="E23" s="56">
        <f t="shared" si="6"/>
        <v>-373249260.8</v>
      </c>
      <c r="F23" s="56">
        <f t="shared" si="6"/>
        <v>-407797212.4</v>
      </c>
      <c r="G23" s="56">
        <f t="shared" si="6"/>
        <v>-445542922.3</v>
      </c>
      <c r="H23" s="56">
        <f t="shared" si="6"/>
        <v>-486782375.2</v>
      </c>
    </row>
    <row r="24">
      <c r="A24" s="34" t="s">
        <v>214</v>
      </c>
      <c r="C24" s="56">
        <f t="shared" ref="C24:H24" si="7">(C20-B20)*$H$10</f>
        <v>164258736.6</v>
      </c>
      <c r="D24" s="56">
        <f t="shared" si="7"/>
        <v>179462525.3</v>
      </c>
      <c r="E24" s="56">
        <f t="shared" si="7"/>
        <v>196073576.6</v>
      </c>
      <c r="F24" s="56">
        <f t="shared" si="7"/>
        <v>214222146.9</v>
      </c>
      <c r="G24" s="56">
        <f t="shared" si="7"/>
        <v>234050548.8</v>
      </c>
      <c r="H24" s="56">
        <f t="shared" si="7"/>
        <v>255714267.6</v>
      </c>
    </row>
    <row r="25">
      <c r="A25" s="34" t="s">
        <v>215</v>
      </c>
      <c r="C25" s="56">
        <f t="shared" ref="C25:H25" si="8">C22-C23-C24</f>
        <v>20911283274</v>
      </c>
      <c r="D25" s="56">
        <f t="shared" si="8"/>
        <v>22846831654</v>
      </c>
      <c r="E25" s="56">
        <f t="shared" si="8"/>
        <v>24961534392</v>
      </c>
      <c r="F25" s="56">
        <f t="shared" si="8"/>
        <v>27271974015</v>
      </c>
      <c r="G25" s="56">
        <f t="shared" si="8"/>
        <v>29796267930</v>
      </c>
      <c r="H25" s="56">
        <f t="shared" si="8"/>
        <v>32554210489</v>
      </c>
    </row>
    <row r="26">
      <c r="A26" s="32"/>
    </row>
    <row r="27">
      <c r="A27" s="45" t="s">
        <v>184</v>
      </c>
      <c r="I27" s="45" t="s">
        <v>192</v>
      </c>
      <c r="J27" s="46" t="s">
        <v>216</v>
      </c>
    </row>
    <row r="28">
      <c r="A28" s="34" t="s">
        <v>188</v>
      </c>
      <c r="B28" s="42">
        <f>H25/(B15-B14)</f>
        <v>277074888443</v>
      </c>
      <c r="I28" s="34" t="s">
        <v>188</v>
      </c>
      <c r="J28" s="37">
        <f>H25/(B16-B14)</f>
        <v>270464108273</v>
      </c>
    </row>
    <row r="29">
      <c r="A29" s="34" t="s">
        <v>217</v>
      </c>
      <c r="B29" s="49">
        <f t="array" ref="B29">NPV(B15,C25:G25)</f>
        <v>83858714098</v>
      </c>
      <c r="I29" s="34" t="s">
        <v>217</v>
      </c>
      <c r="J29" s="49">
        <f t="array" ref="J29">NPV(B16, C25:H25)</f>
        <v>97668038263</v>
      </c>
    </row>
    <row r="30">
      <c r="A30" s="34" t="s">
        <v>218</v>
      </c>
      <c r="B30" s="49">
        <f>B29+B28/(1+B15)^5</f>
        <v>226199858279</v>
      </c>
      <c r="I30" s="34" t="s">
        <v>218</v>
      </c>
      <c r="J30" s="49">
        <f>J29+J28/(1+B16)^5</f>
        <v>234879855657</v>
      </c>
    </row>
    <row r="31">
      <c r="A31" s="34" t="s">
        <v>115</v>
      </c>
      <c r="B31" s="56">
        <f>Financials!K22</f>
        <v>59350000000</v>
      </c>
      <c r="I31" s="34" t="s">
        <v>115</v>
      </c>
      <c r="J31" s="56">
        <f>Financials!K22</f>
        <v>59350000000</v>
      </c>
    </row>
    <row r="32">
      <c r="A32" s="34" t="s">
        <v>219</v>
      </c>
      <c r="B32" s="56">
        <f>Financials!K23</f>
        <v>3270000000</v>
      </c>
      <c r="I32" s="34" t="s">
        <v>219</v>
      </c>
      <c r="J32" s="56">
        <f>Financials!K23</f>
        <v>3270000000</v>
      </c>
    </row>
    <row r="33">
      <c r="A33" s="34" t="s">
        <v>220</v>
      </c>
      <c r="B33" s="56">
        <f>Financials!K25</f>
        <v>6454643831</v>
      </c>
      <c r="I33" s="34" t="s">
        <v>220</v>
      </c>
      <c r="J33" s="56">
        <f>Financials!K25</f>
        <v>6454643831</v>
      </c>
    </row>
    <row r="34">
      <c r="A34" s="45" t="s">
        <v>190</v>
      </c>
      <c r="B34" s="49">
        <f>(B30-B31+B32)/B33</f>
        <v>26.35619606</v>
      </c>
      <c r="I34" s="45" t="s">
        <v>190</v>
      </c>
      <c r="J34" s="49">
        <f>(J30-J31+J32)/J33</f>
        <v>27.70096389</v>
      </c>
    </row>
    <row r="35">
      <c r="A35" s="34" t="s">
        <v>221</v>
      </c>
      <c r="B35" s="47">
        <v>13.16</v>
      </c>
      <c r="I35" s="34" t="s">
        <v>221</v>
      </c>
      <c r="J35" s="47">
        <v>13.16</v>
      </c>
    </row>
    <row r="43">
      <c r="B43" s="57"/>
      <c r="C43" s="57"/>
      <c r="D43" s="57"/>
      <c r="E43" s="57"/>
      <c r="F43" s="5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8.63"/>
  </cols>
  <sheetData>
    <row r="1">
      <c r="A1" s="45" t="s">
        <v>222</v>
      </c>
    </row>
    <row r="2">
      <c r="A2" s="34" t="s">
        <v>223</v>
      </c>
      <c r="B2" s="58">
        <v>0.1381</v>
      </c>
    </row>
    <row r="3">
      <c r="A3" s="34" t="s">
        <v>224</v>
      </c>
      <c r="B3" s="59">
        <v>0.86</v>
      </c>
    </row>
    <row r="4">
      <c r="A4" s="34" t="s">
        <v>225</v>
      </c>
      <c r="B4" s="60">
        <v>0.0</v>
      </c>
    </row>
    <row r="5">
      <c r="A5" s="34" t="s">
        <v>226</v>
      </c>
      <c r="B5" s="44">
        <v>0.0324</v>
      </c>
    </row>
    <row r="6">
      <c r="A6" s="61" t="s">
        <v>183</v>
      </c>
      <c r="B6" s="39">
        <f>B2+B3*B5</f>
        <v>0.165964</v>
      </c>
    </row>
    <row r="7">
      <c r="A7" s="32"/>
    </row>
    <row r="8">
      <c r="A8" s="45" t="s">
        <v>227</v>
      </c>
    </row>
    <row r="9">
      <c r="A9" s="34" t="s">
        <v>161</v>
      </c>
      <c r="B9" s="42">
        <f>'Financial ratios'!M17</f>
        <v>4.7</v>
      </c>
    </row>
    <row r="10">
      <c r="A10" s="34" t="s">
        <v>228</v>
      </c>
      <c r="B10" s="62" t="s">
        <v>229</v>
      </c>
    </row>
    <row r="11">
      <c r="A11" s="34" t="s">
        <v>230</v>
      </c>
      <c r="B11" s="63">
        <v>0.0078</v>
      </c>
    </row>
    <row r="12">
      <c r="A12" s="34" t="s">
        <v>223</v>
      </c>
      <c r="B12" s="44">
        <v>0.1381</v>
      </c>
    </row>
    <row r="13">
      <c r="A13" s="61" t="s">
        <v>231</v>
      </c>
      <c r="B13" s="39">
        <f>B12+B11</f>
        <v>0.1459</v>
      </c>
    </row>
    <row r="14">
      <c r="A14" s="34" t="s">
        <v>205</v>
      </c>
      <c r="B14" s="39">
        <f>AVERAGE(DFCF!B11:F11)</f>
        <v>0.304</v>
      </c>
    </row>
    <row r="15">
      <c r="A15" s="61" t="s">
        <v>232</v>
      </c>
      <c r="B15" s="54">
        <f>B13*(1-B14)</f>
        <v>0.1015464</v>
      </c>
    </row>
    <row r="16">
      <c r="A16" s="32"/>
    </row>
    <row r="17">
      <c r="A17" s="45" t="s">
        <v>233</v>
      </c>
    </row>
    <row r="18">
      <c r="A18" s="34" t="s">
        <v>220</v>
      </c>
      <c r="B18" s="56">
        <f>Financials!K25</f>
        <v>6454643831</v>
      </c>
    </row>
    <row r="19">
      <c r="A19" s="34" t="s">
        <v>234</v>
      </c>
      <c r="B19" s="47">
        <v>16.3</v>
      </c>
    </row>
    <row r="20">
      <c r="A20" s="34" t="s">
        <v>235</v>
      </c>
      <c r="B20" s="42">
        <f>B18*B19</f>
        <v>105210694445</v>
      </c>
    </row>
    <row r="21">
      <c r="A21" s="34" t="s">
        <v>115</v>
      </c>
      <c r="B21" s="56">
        <f>Financials!K21</f>
        <v>60310000000</v>
      </c>
    </row>
    <row r="22">
      <c r="A22" s="34" t="s">
        <v>219</v>
      </c>
      <c r="B22" s="56">
        <f>Financials!K23</f>
        <v>3270000000</v>
      </c>
    </row>
    <row r="23">
      <c r="A23" s="34" t="s">
        <v>236</v>
      </c>
      <c r="B23" s="56">
        <f>B20+B21-B22</f>
        <v>162250694445</v>
      </c>
    </row>
    <row r="24">
      <c r="A24" s="34" t="s">
        <v>237</v>
      </c>
      <c r="B24" s="39">
        <f>B20/(B20+B21)</f>
        <v>0.6356346848</v>
      </c>
    </row>
    <row r="25">
      <c r="A25" s="34" t="s">
        <v>238</v>
      </c>
      <c r="B25" s="39">
        <f>B21/(B20+B21)</f>
        <v>0.3643653152</v>
      </c>
    </row>
    <row r="26">
      <c r="A26" s="32"/>
    </row>
    <row r="27">
      <c r="A27" s="34" t="s">
        <v>239</v>
      </c>
      <c r="B27" s="54">
        <f>B24*B6+(B13*B25)</f>
        <v>0.1586533743</v>
      </c>
    </row>
    <row r="28">
      <c r="A28" s="61" t="s">
        <v>208</v>
      </c>
      <c r="B28" s="54">
        <f>B24*B6+(B25*B15)</f>
        <v>0.1424924609</v>
      </c>
    </row>
    <row r="29">
      <c r="A29" s="61" t="s">
        <v>209</v>
      </c>
      <c r="B29" s="39">
        <f>(B20/B23)*B6+(B21/B23)*B15</f>
        <v>0.1453642535</v>
      </c>
    </row>
  </sheetData>
  <drawing r:id="rId1"/>
</worksheet>
</file>